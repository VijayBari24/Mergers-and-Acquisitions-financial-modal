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Vijay Bari project\"/>
    </mc:Choice>
  </mc:AlternateContent>
  <xr:revisionPtr revIDLastSave="0" documentId="13_ncr:1_{AFFE42DD-DD1F-4B11-B0E7-B826BB7C812D}" xr6:coauthVersionLast="36" xr6:coauthVersionMax="36" xr10:uidLastSave="{00000000-0000-0000-0000-000000000000}"/>
  <bookViews>
    <workbookView xWindow="0" yWindow="0" windowWidth="24000" windowHeight="9225" xr2:uid="{00000000-000D-0000-FFFF-FFFF00000000}"/>
  </bookViews>
  <sheets>
    <sheet name="M&amp;A Assumptions &amp; Analysis" sheetId="1" r:id="rId1"/>
    <sheet name="Pro Forma Model" sheetId="2" r:id="rId2"/>
    <sheet name="Acquirer Model" sheetId="3" r:id="rId3"/>
    <sheet name="Target Model" sheetId="4" r:id="rId4"/>
  </sheets>
  <externalReferences>
    <externalReference r:id="rId5"/>
    <externalReference r:id="rId6"/>
  </externalReference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43412.7003240741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uri="GoogleSheetsCustomDataVersion2">
      <go:sheetsCustomData xmlns:go="http://customooxmlschemas.google.com/" r:id="rId8" roundtripDataChecksum="0M0FN7gcNrRCPT7SNaSulvdlPhiGwy5GC/CoMamt9hY="/>
    </ext>
  </extLst>
</workbook>
</file>

<file path=xl/calcChain.xml><?xml version="1.0" encoding="utf-8"?>
<calcChain xmlns="http://schemas.openxmlformats.org/spreadsheetml/2006/main">
  <c r="J16" i="1" l="1"/>
  <c r="K16" i="1"/>
  <c r="L16" i="1"/>
  <c r="M16" i="1"/>
  <c r="I16" i="1"/>
  <c r="J15" i="1"/>
  <c r="K15" i="1"/>
  <c r="L15" i="1"/>
  <c r="M15" i="1"/>
  <c r="I15" i="1"/>
  <c r="J14" i="1"/>
  <c r="K14" i="1"/>
  <c r="L14" i="1"/>
  <c r="M14" i="1"/>
  <c r="I14" i="1"/>
  <c r="J12" i="1"/>
  <c r="K12" i="1"/>
  <c r="L12" i="1"/>
  <c r="M12" i="1"/>
  <c r="I12" i="1"/>
  <c r="J11" i="1"/>
  <c r="K11" i="1"/>
  <c r="L11" i="1"/>
  <c r="M11" i="1"/>
  <c r="I11" i="1"/>
  <c r="M10" i="1"/>
  <c r="L10" i="1"/>
  <c r="K10" i="1"/>
  <c r="J10" i="1"/>
  <c r="I10" i="1"/>
  <c r="M9" i="1"/>
  <c r="L9" i="1"/>
  <c r="K9" i="1"/>
  <c r="J9" i="1"/>
  <c r="I9" i="1"/>
  <c r="D71" i="1"/>
  <c r="D27" i="1"/>
  <c r="D17" i="1"/>
  <c r="D16" i="1"/>
  <c r="D15" i="1"/>
  <c r="D14" i="1"/>
  <c r="M31" i="1"/>
  <c r="L31" i="1"/>
  <c r="K31" i="1"/>
  <c r="J31" i="1"/>
  <c r="I31" i="1"/>
  <c r="M30" i="1"/>
  <c r="L30" i="1"/>
  <c r="K30" i="1"/>
  <c r="J30" i="1"/>
  <c r="I30" i="1"/>
  <c r="J26" i="1"/>
  <c r="K26" i="1"/>
  <c r="L26" i="1"/>
  <c r="M26" i="1"/>
  <c r="J25" i="1"/>
  <c r="K25" i="1"/>
  <c r="L25" i="1"/>
  <c r="M25" i="1"/>
  <c r="J24" i="1"/>
  <c r="K24" i="1"/>
  <c r="L24" i="1"/>
  <c r="M24" i="1"/>
  <c r="M22" i="1"/>
  <c r="L22" i="1"/>
  <c r="K22" i="1"/>
  <c r="J22" i="1"/>
  <c r="I22" i="1"/>
  <c r="M21" i="1"/>
  <c r="L21" i="1"/>
  <c r="K21" i="1"/>
  <c r="J21" i="1"/>
  <c r="I21" i="1"/>
  <c r="M20" i="1"/>
  <c r="L20" i="1"/>
  <c r="K20" i="1"/>
  <c r="J20" i="1"/>
  <c r="C170" i="2" l="1"/>
  <c r="C169" i="2"/>
  <c r="C168" i="2"/>
  <c r="C167" i="2"/>
  <c r="I26" i="1"/>
  <c r="I25" i="1"/>
  <c r="I24" i="1"/>
  <c r="C160" i="4"/>
  <c r="C159" i="4"/>
  <c r="D9" i="1" s="1"/>
  <c r="F146" i="4"/>
  <c r="F118" i="4"/>
  <c r="D97" i="4"/>
  <c r="D96" i="4"/>
  <c r="D93" i="4"/>
  <c r="D139" i="4"/>
  <c r="G181" i="4" l="1"/>
  <c r="C157" i="4"/>
  <c r="C158" i="4"/>
  <c r="D145" i="4"/>
  <c r="H145" i="4"/>
  <c r="G145" i="4"/>
  <c r="F145" i="4"/>
  <c r="E145" i="4"/>
  <c r="H74" i="4"/>
  <c r="G74" i="4"/>
  <c r="F74" i="4"/>
  <c r="E74" i="4"/>
  <c r="D74" i="4"/>
  <c r="H81" i="4" l="1"/>
  <c r="G81" i="4"/>
  <c r="F81" i="4"/>
  <c r="E81" i="4"/>
  <c r="D81" i="4"/>
  <c r="K118" i="4"/>
  <c r="F140" i="4"/>
  <c r="G140" i="4"/>
  <c r="H140" i="4"/>
  <c r="E140" i="4"/>
  <c r="D140" i="4"/>
  <c r="H139" i="4"/>
  <c r="G139" i="4"/>
  <c r="F139" i="4"/>
  <c r="E139" i="4"/>
  <c r="H93" i="4"/>
  <c r="G93" i="4"/>
  <c r="F93" i="4"/>
  <c r="E93" i="4"/>
  <c r="F96" i="4"/>
  <c r="G96" i="4"/>
  <c r="H96" i="4"/>
  <c r="I96" i="4" s="1"/>
  <c r="E96" i="4"/>
  <c r="H91" i="4"/>
  <c r="G91" i="4"/>
  <c r="F91" i="4"/>
  <c r="E91" i="4"/>
  <c r="D91" i="4"/>
  <c r="H85" i="4"/>
  <c r="G85" i="4"/>
  <c r="F85" i="4"/>
  <c r="E85" i="4"/>
  <c r="D85" i="4"/>
  <c r="H83" i="4"/>
  <c r="G83" i="4"/>
  <c r="F83" i="4"/>
  <c r="E83" i="4"/>
  <c r="D83" i="4"/>
  <c r="H82" i="4"/>
  <c r="G82" i="4"/>
  <c r="F82" i="4"/>
  <c r="E82" i="4"/>
  <c r="D82" i="4"/>
  <c r="H70" i="4"/>
  <c r="G70" i="4"/>
  <c r="F70" i="4"/>
  <c r="E70" i="4"/>
  <c r="D70" i="4"/>
  <c r="H69" i="4"/>
  <c r="G69" i="4"/>
  <c r="F69" i="4"/>
  <c r="E69" i="4"/>
  <c r="D69" i="4"/>
  <c r="H68" i="4"/>
  <c r="G68" i="4"/>
  <c r="F68" i="4"/>
  <c r="E68" i="4"/>
  <c r="D68" i="4"/>
  <c r="H67" i="4"/>
  <c r="G67" i="4"/>
  <c r="F67" i="4"/>
  <c r="E67" i="4"/>
  <c r="D67" i="4"/>
  <c r="H64" i="4"/>
  <c r="G64" i="4"/>
  <c r="F64" i="4"/>
  <c r="E64" i="4"/>
  <c r="D64" i="4"/>
  <c r="H63" i="4"/>
  <c r="G63" i="4"/>
  <c r="F63" i="4"/>
  <c r="E63" i="4"/>
  <c r="D63" i="4"/>
  <c r="D8" i="1" l="1"/>
  <c r="D22" i="1"/>
  <c r="C158" i="3"/>
  <c r="D115" i="3"/>
  <c r="H64" i="3"/>
  <c r="G64" i="3"/>
  <c r="F64" i="3"/>
  <c r="E64" i="3"/>
  <c r="D64" i="3"/>
  <c r="D65" i="3" s="1"/>
  <c r="D113" i="3"/>
  <c r="E113" i="3"/>
  <c r="F113" i="3"/>
  <c r="G113" i="3"/>
  <c r="H113" i="3"/>
  <c r="H91" i="3"/>
  <c r="G91" i="3"/>
  <c r="F91" i="3"/>
  <c r="E91" i="3"/>
  <c r="D91" i="3"/>
  <c r="E141" i="3"/>
  <c r="F141" i="3"/>
  <c r="G141" i="3"/>
  <c r="H141" i="3"/>
  <c r="D141" i="3"/>
  <c r="H83" i="3"/>
  <c r="G83" i="3"/>
  <c r="F83" i="3"/>
  <c r="E83" i="3"/>
  <c r="D83" i="3"/>
  <c r="H82" i="3"/>
  <c r="G82" i="3"/>
  <c r="F82" i="3"/>
  <c r="E82" i="3"/>
  <c r="D82" i="3"/>
  <c r="H81" i="3"/>
  <c r="G81" i="3"/>
  <c r="F81" i="3"/>
  <c r="E81" i="3"/>
  <c r="D81" i="3"/>
  <c r="H97" i="3"/>
  <c r="G97" i="3"/>
  <c r="F97" i="3"/>
  <c r="E97" i="3"/>
  <c r="D97" i="3"/>
  <c r="H96" i="3"/>
  <c r="G96" i="3"/>
  <c r="F96" i="3"/>
  <c r="E96" i="3"/>
  <c r="D96" i="3"/>
  <c r="E108" i="3"/>
  <c r="F108" i="3"/>
  <c r="G108" i="3"/>
  <c r="H108" i="3"/>
  <c r="D108" i="3"/>
  <c r="D145" i="3"/>
  <c r="H93" i="3"/>
  <c r="G93" i="3"/>
  <c r="F93" i="3"/>
  <c r="E93" i="3"/>
  <c r="D93" i="3"/>
  <c r="E46" i="3" l="1"/>
  <c r="F46" i="3"/>
  <c r="G46" i="3"/>
  <c r="H46" i="3"/>
  <c r="D46" i="3"/>
  <c r="C164" i="4" l="1"/>
  <c r="H147" i="4"/>
  <c r="G147" i="4"/>
  <c r="G148" i="4" s="1"/>
  <c r="F147" i="4"/>
  <c r="F148" i="4" s="1"/>
  <c r="E147" i="4"/>
  <c r="E148" i="4" s="1"/>
  <c r="D147" i="4"/>
  <c r="D148" i="4" s="1"/>
  <c r="H134" i="4"/>
  <c r="G134" i="4"/>
  <c r="F134" i="4"/>
  <c r="E134" i="4"/>
  <c r="D134" i="4"/>
  <c r="H133" i="4"/>
  <c r="G133" i="4"/>
  <c r="F133" i="4"/>
  <c r="E133" i="4"/>
  <c r="D133" i="4"/>
  <c r="H132" i="4"/>
  <c r="G132" i="4"/>
  <c r="F132" i="4"/>
  <c r="E132" i="4"/>
  <c r="D132" i="4"/>
  <c r="H121" i="4"/>
  <c r="G121" i="4"/>
  <c r="F121" i="4"/>
  <c r="E121" i="4"/>
  <c r="D121" i="4"/>
  <c r="H115" i="4"/>
  <c r="G115" i="4"/>
  <c r="F115" i="4"/>
  <c r="E115" i="4"/>
  <c r="D115" i="4"/>
  <c r="H108" i="4"/>
  <c r="H141" i="4" s="1"/>
  <c r="H142" i="4" s="1"/>
  <c r="G108" i="4"/>
  <c r="G141" i="4" s="1"/>
  <c r="G142" i="4" s="1"/>
  <c r="F108" i="4"/>
  <c r="F141" i="4" s="1"/>
  <c r="F142" i="4" s="1"/>
  <c r="E108" i="4"/>
  <c r="E141" i="4" s="1"/>
  <c r="E142" i="4" s="1"/>
  <c r="D108" i="4"/>
  <c r="D141" i="4" s="1"/>
  <c r="D142" i="4" s="1"/>
  <c r="D98" i="4"/>
  <c r="H92" i="4"/>
  <c r="H94" i="4" s="1"/>
  <c r="G92" i="4"/>
  <c r="G94" i="4" s="1"/>
  <c r="F92" i="4"/>
  <c r="F94" i="4" s="1"/>
  <c r="E92" i="4"/>
  <c r="E94" i="4" s="1"/>
  <c r="D92" i="4"/>
  <c r="D94" i="4" s="1"/>
  <c r="H71" i="4"/>
  <c r="G71" i="4"/>
  <c r="F71" i="4"/>
  <c r="E71" i="4"/>
  <c r="D71" i="4"/>
  <c r="H65" i="4"/>
  <c r="G65" i="4"/>
  <c r="F65" i="4"/>
  <c r="E65" i="4"/>
  <c r="D65" i="4"/>
  <c r="P58" i="4"/>
  <c r="P120" i="4" s="1"/>
  <c r="O58" i="4"/>
  <c r="O120" i="4" s="1"/>
  <c r="N58" i="4"/>
  <c r="N120" i="4" s="1"/>
  <c r="M58" i="4"/>
  <c r="M120" i="4" s="1"/>
  <c r="L58" i="4"/>
  <c r="L120" i="4" s="1"/>
  <c r="K58" i="4"/>
  <c r="K120" i="4" s="1"/>
  <c r="J58" i="4"/>
  <c r="J120" i="4" s="1"/>
  <c r="I58" i="4"/>
  <c r="I120" i="4" s="1"/>
  <c r="P57" i="4"/>
  <c r="P119" i="4" s="1"/>
  <c r="O57" i="4"/>
  <c r="O119" i="4" s="1"/>
  <c r="N57" i="4"/>
  <c r="N119" i="4" s="1"/>
  <c r="M57" i="4"/>
  <c r="M119" i="4" s="1"/>
  <c r="L57" i="4"/>
  <c r="L119" i="4" s="1"/>
  <c r="K57" i="4"/>
  <c r="K119" i="4" s="1"/>
  <c r="J57" i="4"/>
  <c r="J119" i="4" s="1"/>
  <c r="I57" i="4"/>
  <c r="P56" i="4"/>
  <c r="O56" i="4"/>
  <c r="N56" i="4"/>
  <c r="N146" i="4" s="1"/>
  <c r="N118" i="4" s="1"/>
  <c r="M56" i="4"/>
  <c r="M146" i="4" s="1"/>
  <c r="M118" i="4" s="1"/>
  <c r="M121" i="4" s="1"/>
  <c r="L56" i="4"/>
  <c r="L146" i="4" s="1"/>
  <c r="L118" i="4" s="1"/>
  <c r="K56" i="4"/>
  <c r="K146" i="4" s="1"/>
  <c r="K121" i="4" s="1"/>
  <c r="J56" i="4"/>
  <c r="J146" i="4" s="1"/>
  <c r="J118" i="4" s="1"/>
  <c r="J121" i="4" s="1"/>
  <c r="I56" i="4"/>
  <c r="I146" i="4" s="1"/>
  <c r="I118" i="4" s="1"/>
  <c r="P55" i="4"/>
  <c r="O55" i="4"/>
  <c r="N55" i="4"/>
  <c r="N140" i="4" s="1"/>
  <c r="N113" i="4" s="1"/>
  <c r="M55" i="4"/>
  <c r="M140" i="4" s="1"/>
  <c r="M113" i="4" s="1"/>
  <c r="L55" i="4"/>
  <c r="L140" i="4" s="1"/>
  <c r="K55" i="4"/>
  <c r="K140" i="4" s="1"/>
  <c r="K113" i="4" s="1"/>
  <c r="J55" i="4"/>
  <c r="J140" i="4" s="1"/>
  <c r="J113" i="4" s="1"/>
  <c r="I55" i="4"/>
  <c r="I140" i="4" s="1"/>
  <c r="P54" i="4"/>
  <c r="O54" i="4"/>
  <c r="N54" i="4"/>
  <c r="M54" i="4"/>
  <c r="L54" i="4"/>
  <c r="K54" i="4"/>
  <c r="J54" i="4"/>
  <c r="I54" i="4"/>
  <c r="P53" i="4"/>
  <c r="O53" i="4"/>
  <c r="N53" i="4"/>
  <c r="M53" i="4"/>
  <c r="L53" i="4"/>
  <c r="K53" i="4"/>
  <c r="J53" i="4"/>
  <c r="I53" i="4"/>
  <c r="P52" i="4"/>
  <c r="O52" i="4"/>
  <c r="N52" i="4"/>
  <c r="M52" i="4"/>
  <c r="L52" i="4"/>
  <c r="K52" i="4"/>
  <c r="J52" i="4"/>
  <c r="I52" i="4"/>
  <c r="P51" i="4"/>
  <c r="O51" i="4"/>
  <c r="N51" i="4"/>
  <c r="M51" i="4"/>
  <c r="L51" i="4"/>
  <c r="K51" i="4"/>
  <c r="J51" i="4"/>
  <c r="I51" i="4"/>
  <c r="P50" i="4"/>
  <c r="O50" i="4"/>
  <c r="N50" i="4"/>
  <c r="N151" i="2" s="1"/>
  <c r="M50" i="4"/>
  <c r="M151" i="2" s="1"/>
  <c r="L50" i="4"/>
  <c r="L151" i="2" s="1"/>
  <c r="K50" i="4"/>
  <c r="J50" i="4"/>
  <c r="J151" i="2" s="1"/>
  <c r="I50" i="4"/>
  <c r="I151" i="2" s="1"/>
  <c r="P49" i="4"/>
  <c r="O49" i="4"/>
  <c r="N49" i="4"/>
  <c r="M49" i="4"/>
  <c r="L49" i="4"/>
  <c r="K49" i="4"/>
  <c r="J49" i="4"/>
  <c r="I49" i="4"/>
  <c r="P48" i="4"/>
  <c r="O48" i="4"/>
  <c r="N48" i="4"/>
  <c r="N68" i="4" s="1"/>
  <c r="M48" i="4"/>
  <c r="M68" i="4" s="1"/>
  <c r="M224" i="2" s="1"/>
  <c r="L48" i="4"/>
  <c r="L68" i="4" s="1"/>
  <c r="L224" i="2" s="1"/>
  <c r="K48" i="4"/>
  <c r="K68" i="4" s="1"/>
  <c r="J48" i="4"/>
  <c r="J68" i="4" s="1"/>
  <c r="J224" i="2" s="1"/>
  <c r="I48" i="4"/>
  <c r="I68" i="4" s="1"/>
  <c r="I224" i="2" s="1"/>
  <c r="P47" i="4"/>
  <c r="O47" i="4"/>
  <c r="N47" i="4"/>
  <c r="M47" i="4"/>
  <c r="L47" i="4"/>
  <c r="K47" i="4"/>
  <c r="J47" i="4"/>
  <c r="I47" i="4"/>
  <c r="P46" i="4"/>
  <c r="O46" i="4"/>
  <c r="N46" i="4"/>
  <c r="M46" i="4"/>
  <c r="L46" i="4"/>
  <c r="K46" i="4"/>
  <c r="J46" i="4"/>
  <c r="I46" i="4"/>
  <c r="P45" i="4"/>
  <c r="O45" i="4"/>
  <c r="N45" i="4"/>
  <c r="M45" i="4"/>
  <c r="L45" i="4"/>
  <c r="K45" i="4"/>
  <c r="J45" i="4"/>
  <c r="I45" i="4"/>
  <c r="I63" i="4" s="1"/>
  <c r="I206" i="2" s="1"/>
  <c r="P6" i="4"/>
  <c r="K6" i="4"/>
  <c r="L6" i="4" s="1"/>
  <c r="M6" i="4" s="1"/>
  <c r="N6" i="4" s="1"/>
  <c r="F6" i="4"/>
  <c r="G6" i="4" s="1"/>
  <c r="H6" i="4" s="1"/>
  <c r="I6" i="4" s="1"/>
  <c r="J6" i="4" s="1"/>
  <c r="E6" i="4"/>
  <c r="E5" i="4"/>
  <c r="O4" i="4"/>
  <c r="E4" i="4"/>
  <c r="F4" i="4" s="1"/>
  <c r="E2" i="4"/>
  <c r="F2" i="4" s="1"/>
  <c r="G2" i="4" s="1"/>
  <c r="H2" i="4" s="1"/>
  <c r="I2" i="4" s="1"/>
  <c r="A2" i="4"/>
  <c r="C164" i="3"/>
  <c r="C160" i="3"/>
  <c r="C159" i="3"/>
  <c r="G186" i="3" s="1"/>
  <c r="H146" i="3"/>
  <c r="G146" i="3"/>
  <c r="E146" i="3"/>
  <c r="D146" i="3"/>
  <c r="D147" i="3" s="1"/>
  <c r="E145" i="3" s="1"/>
  <c r="E147" i="3" s="1"/>
  <c r="F145" i="3" s="1"/>
  <c r="F147" i="3" s="1"/>
  <c r="H140" i="3"/>
  <c r="G140" i="3"/>
  <c r="F140" i="3"/>
  <c r="E140" i="3"/>
  <c r="D140" i="3"/>
  <c r="H134" i="3"/>
  <c r="G134" i="3"/>
  <c r="F134" i="3"/>
  <c r="E134" i="3"/>
  <c r="D134" i="3"/>
  <c r="H133" i="3"/>
  <c r="G133" i="3"/>
  <c r="F133" i="3"/>
  <c r="E133" i="3"/>
  <c r="D133" i="3"/>
  <c r="H132" i="3"/>
  <c r="G132" i="3"/>
  <c r="F132" i="3"/>
  <c r="E132" i="3"/>
  <c r="D132" i="3"/>
  <c r="H121" i="3"/>
  <c r="G121" i="3"/>
  <c r="F121" i="3"/>
  <c r="E121" i="3"/>
  <c r="D121" i="3"/>
  <c r="H115" i="3"/>
  <c r="G115" i="3"/>
  <c r="F115" i="3"/>
  <c r="E115" i="3"/>
  <c r="H98" i="3"/>
  <c r="G98" i="3"/>
  <c r="F98" i="3"/>
  <c r="E98" i="3"/>
  <c r="D98" i="3"/>
  <c r="H92" i="3"/>
  <c r="H94" i="3" s="1"/>
  <c r="G92" i="3"/>
  <c r="G94" i="3" s="1"/>
  <c r="F92" i="3"/>
  <c r="F94" i="3" s="1"/>
  <c r="E92" i="3"/>
  <c r="E94" i="3" s="1"/>
  <c r="D92" i="3"/>
  <c r="D94" i="3" s="1"/>
  <c r="H71" i="3"/>
  <c r="G71" i="3"/>
  <c r="F71" i="3"/>
  <c r="E71" i="3"/>
  <c r="D71" i="3"/>
  <c r="H65" i="3"/>
  <c r="H72" i="3" s="1"/>
  <c r="H75" i="3" s="1"/>
  <c r="H107" i="3" s="1"/>
  <c r="G65" i="3"/>
  <c r="F65" i="3"/>
  <c r="E65" i="3"/>
  <c r="E72" i="3" s="1"/>
  <c r="E75" i="3" s="1"/>
  <c r="E107" i="3" s="1"/>
  <c r="D72" i="3"/>
  <c r="D75" i="3" s="1"/>
  <c r="D107" i="3" s="1"/>
  <c r="P58" i="3"/>
  <c r="P120" i="3" s="1"/>
  <c r="O58" i="3"/>
  <c r="O120" i="3" s="1"/>
  <c r="N58" i="3"/>
  <c r="N120" i="3" s="1"/>
  <c r="M58" i="3"/>
  <c r="M120" i="3" s="1"/>
  <c r="L58" i="3"/>
  <c r="L120" i="3" s="1"/>
  <c r="K58" i="3"/>
  <c r="K120" i="3" s="1"/>
  <c r="J58" i="3"/>
  <c r="J120" i="3" s="1"/>
  <c r="I58" i="3"/>
  <c r="I120" i="3" s="1"/>
  <c r="P57" i="3"/>
  <c r="P119" i="3" s="1"/>
  <c r="O57" i="3"/>
  <c r="N57" i="3"/>
  <c r="N119" i="3" s="1"/>
  <c r="M57" i="3"/>
  <c r="M119" i="3" s="1"/>
  <c r="L57" i="3"/>
  <c r="L119" i="3" s="1"/>
  <c r="K57" i="3"/>
  <c r="K119" i="3" s="1"/>
  <c r="J57" i="3"/>
  <c r="J119" i="3" s="1"/>
  <c r="I57" i="3"/>
  <c r="I119" i="3" s="1"/>
  <c r="P56" i="3"/>
  <c r="O56" i="3"/>
  <c r="N56" i="3"/>
  <c r="N146" i="3" s="1"/>
  <c r="N118" i="3" s="1"/>
  <c r="N121" i="3" s="1"/>
  <c r="M56" i="3"/>
  <c r="M146" i="3" s="1"/>
  <c r="M118" i="3" s="1"/>
  <c r="L56" i="3"/>
  <c r="L146" i="3" s="1"/>
  <c r="L118" i="3" s="1"/>
  <c r="L121" i="3" s="1"/>
  <c r="K56" i="3"/>
  <c r="K146" i="3" s="1"/>
  <c r="K118" i="3" s="1"/>
  <c r="K121" i="3" s="1"/>
  <c r="J56" i="3"/>
  <c r="J146" i="3" s="1"/>
  <c r="J118" i="3" s="1"/>
  <c r="J121" i="3" s="1"/>
  <c r="I56" i="3"/>
  <c r="I146" i="3" s="1"/>
  <c r="P55" i="3"/>
  <c r="O55" i="3"/>
  <c r="N55" i="3"/>
  <c r="N140" i="3" s="1"/>
  <c r="N113" i="3" s="1"/>
  <c r="M55" i="3"/>
  <c r="M140" i="3" s="1"/>
  <c r="M113" i="3" s="1"/>
  <c r="L55" i="3"/>
  <c r="L140" i="3" s="1"/>
  <c r="L113" i="3" s="1"/>
  <c r="K55" i="3"/>
  <c r="K140" i="3" s="1"/>
  <c r="K113" i="3" s="1"/>
  <c r="J55" i="3"/>
  <c r="J140" i="3" s="1"/>
  <c r="J113" i="3" s="1"/>
  <c r="I55" i="3"/>
  <c r="I140" i="3" s="1"/>
  <c r="P54" i="3"/>
  <c r="O54" i="3"/>
  <c r="N54" i="3"/>
  <c r="M54" i="3"/>
  <c r="L54" i="3"/>
  <c r="K54" i="3"/>
  <c r="J54" i="3"/>
  <c r="I54" i="3"/>
  <c r="P53" i="3"/>
  <c r="O53" i="3"/>
  <c r="N53" i="3"/>
  <c r="M53" i="3"/>
  <c r="L53" i="3"/>
  <c r="K53" i="3"/>
  <c r="J53" i="3"/>
  <c r="I53" i="3"/>
  <c r="P52" i="3"/>
  <c r="O52" i="3"/>
  <c r="N52" i="3"/>
  <c r="M52" i="3"/>
  <c r="L52" i="3"/>
  <c r="K52" i="3"/>
  <c r="J52" i="3"/>
  <c r="I52" i="3"/>
  <c r="P51" i="3"/>
  <c r="O51" i="3"/>
  <c r="N51" i="3"/>
  <c r="M51" i="3"/>
  <c r="L51" i="3"/>
  <c r="K51" i="3"/>
  <c r="J51" i="3"/>
  <c r="I51" i="3"/>
  <c r="P50" i="3"/>
  <c r="O50" i="3"/>
  <c r="N50" i="3"/>
  <c r="N152" i="2" s="1"/>
  <c r="M50" i="3"/>
  <c r="M152" i="2" s="1"/>
  <c r="L50" i="3"/>
  <c r="L152" i="2" s="1"/>
  <c r="K50" i="3"/>
  <c r="J50" i="3"/>
  <c r="I50" i="3"/>
  <c r="I152" i="2" s="1"/>
  <c r="P49" i="3"/>
  <c r="O49" i="3"/>
  <c r="N49" i="3"/>
  <c r="M49" i="3"/>
  <c r="L49" i="3"/>
  <c r="K49" i="3"/>
  <c r="J49" i="3"/>
  <c r="I49" i="3"/>
  <c r="P48" i="3"/>
  <c r="O48" i="3"/>
  <c r="N48" i="3"/>
  <c r="N68" i="3" s="1"/>
  <c r="N223" i="2" s="1"/>
  <c r="M48" i="3"/>
  <c r="M68" i="3" s="1"/>
  <c r="M223" i="2" s="1"/>
  <c r="L48" i="3"/>
  <c r="L68" i="3" s="1"/>
  <c r="L223" i="2" s="1"/>
  <c r="K48" i="3"/>
  <c r="K68" i="3" s="1"/>
  <c r="K223" i="2" s="1"/>
  <c r="J48" i="3"/>
  <c r="J68" i="3" s="1"/>
  <c r="J223" i="2" s="1"/>
  <c r="I48" i="3"/>
  <c r="I68" i="3" s="1"/>
  <c r="P47" i="3"/>
  <c r="O47" i="3"/>
  <c r="N47" i="3"/>
  <c r="M47" i="3"/>
  <c r="L47" i="3"/>
  <c r="K47" i="3"/>
  <c r="J47" i="3"/>
  <c r="I47" i="3"/>
  <c r="P46" i="3"/>
  <c r="O46" i="3"/>
  <c r="N46" i="3"/>
  <c r="M46" i="3"/>
  <c r="L46" i="3"/>
  <c r="K46" i="3"/>
  <c r="J46" i="3"/>
  <c r="I46" i="3"/>
  <c r="P45" i="3"/>
  <c r="O45" i="3"/>
  <c r="N45" i="3"/>
  <c r="M45" i="3"/>
  <c r="L45" i="3"/>
  <c r="K45" i="3"/>
  <c r="J45" i="3"/>
  <c r="I45" i="3"/>
  <c r="I63" i="3" s="1"/>
  <c r="P6" i="3"/>
  <c r="E6" i="3"/>
  <c r="F6" i="3" s="1"/>
  <c r="G6" i="3" s="1"/>
  <c r="H6" i="3" s="1"/>
  <c r="I6" i="3" s="1"/>
  <c r="J6" i="3" s="1"/>
  <c r="K6" i="3" s="1"/>
  <c r="L6" i="3" s="1"/>
  <c r="M6" i="3" s="1"/>
  <c r="N6" i="3" s="1"/>
  <c r="P4" i="3"/>
  <c r="P5" i="3" s="1"/>
  <c r="O4" i="3"/>
  <c r="E4" i="3"/>
  <c r="F4" i="3" s="1"/>
  <c r="P2" i="3"/>
  <c r="O2" i="3"/>
  <c r="E2" i="3"/>
  <c r="F2" i="3" s="1"/>
  <c r="G2" i="3" s="1"/>
  <c r="H2" i="3" s="1"/>
  <c r="I2" i="3" s="1"/>
  <c r="A2" i="3"/>
  <c r="N224" i="2"/>
  <c r="K224" i="2"/>
  <c r="C176" i="2"/>
  <c r="K152" i="2"/>
  <c r="J152" i="2"/>
  <c r="K151" i="2"/>
  <c r="N90" i="2"/>
  <c r="M90" i="2"/>
  <c r="L90" i="2"/>
  <c r="K90" i="2"/>
  <c r="J90" i="2"/>
  <c r="I90" i="2"/>
  <c r="N89" i="2"/>
  <c r="M89" i="2"/>
  <c r="L89" i="2"/>
  <c r="K89" i="2"/>
  <c r="J89" i="2"/>
  <c r="I89" i="2"/>
  <c r="G14" i="2"/>
  <c r="G13" i="2"/>
  <c r="G12" i="2"/>
  <c r="H5" i="2"/>
  <c r="I5" i="2" s="1"/>
  <c r="I2" i="2"/>
  <c r="D175" i="2" s="1"/>
  <c r="B142" i="1"/>
  <c r="B143" i="1" s="1"/>
  <c r="B144" i="1" s="1"/>
  <c r="B145" i="1" s="1"/>
  <c r="I141" i="1"/>
  <c r="I142" i="1" s="1"/>
  <c r="I143" i="1" s="1"/>
  <c r="I144" i="1" s="1"/>
  <c r="I145" i="1" s="1"/>
  <c r="B141" i="1"/>
  <c r="L139" i="1"/>
  <c r="M139" i="1" s="1"/>
  <c r="K139" i="1"/>
  <c r="E139" i="1"/>
  <c r="F139" i="1" s="1"/>
  <c r="D139" i="1"/>
  <c r="K133" i="1"/>
  <c r="E130" i="1"/>
  <c r="E128" i="1"/>
  <c r="M114" i="1"/>
  <c r="L114" i="1"/>
  <c r="K114" i="1"/>
  <c r="J114" i="1"/>
  <c r="I114" i="1"/>
  <c r="M113" i="1"/>
  <c r="L113" i="1"/>
  <c r="K113" i="1"/>
  <c r="J113" i="1"/>
  <c r="I113" i="1"/>
  <c r="M99" i="1"/>
  <c r="L99" i="1"/>
  <c r="K99" i="1"/>
  <c r="J99" i="1"/>
  <c r="I99" i="1"/>
  <c r="M98" i="1"/>
  <c r="L98" i="1"/>
  <c r="K98" i="1"/>
  <c r="J98" i="1"/>
  <c r="I98" i="1"/>
  <c r="D75" i="1"/>
  <c r="E71" i="1"/>
  <c r="G71" i="1" s="1"/>
  <c r="M64" i="1"/>
  <c r="E64" i="1"/>
  <c r="D64" i="1"/>
  <c r="F62" i="1"/>
  <c r="G62" i="1" s="1"/>
  <c r="H62" i="1" s="1"/>
  <c r="I62" i="1" s="1"/>
  <c r="J62" i="1" s="1"/>
  <c r="K62" i="1" s="1"/>
  <c r="L62" i="1" s="1"/>
  <c r="M62" i="1" s="1"/>
  <c r="E62" i="1"/>
  <c r="E53" i="1"/>
  <c r="M43" i="1"/>
  <c r="D39" i="1"/>
  <c r="D36" i="1"/>
  <c r="D32" i="1"/>
  <c r="H31" i="1"/>
  <c r="H30" i="1"/>
  <c r="D33" i="1" s="1"/>
  <c r="D28" i="1"/>
  <c r="C171" i="2" s="1"/>
  <c r="G198" i="2" s="1"/>
  <c r="H26" i="1"/>
  <c r="I150" i="2" s="1"/>
  <c r="H25" i="1"/>
  <c r="I149" i="2" s="1"/>
  <c r="H24" i="1"/>
  <c r="I148" i="2" s="1"/>
  <c r="J148" i="2" s="1"/>
  <c r="K148" i="2" s="1"/>
  <c r="L148" i="2" s="1"/>
  <c r="M148" i="2" s="1"/>
  <c r="N148" i="2" s="1"/>
  <c r="H22" i="1"/>
  <c r="H128" i="2" s="1"/>
  <c r="H21" i="1"/>
  <c r="H123" i="2" s="1"/>
  <c r="H20" i="1"/>
  <c r="H118" i="2" s="1"/>
  <c r="H16" i="1"/>
  <c r="H15" i="1"/>
  <c r="H14" i="1"/>
  <c r="H12" i="1"/>
  <c r="H11" i="1"/>
  <c r="H10" i="1"/>
  <c r="H9" i="1"/>
  <c r="K6" i="1"/>
  <c r="L6" i="1" s="1"/>
  <c r="M6" i="1" s="1"/>
  <c r="J6" i="1"/>
  <c r="A1" i="1"/>
  <c r="H99" i="3" l="1"/>
  <c r="O139" i="4"/>
  <c r="I139" i="4"/>
  <c r="F99" i="3"/>
  <c r="D34" i="1"/>
  <c r="D40" i="1" s="1"/>
  <c r="D41" i="1" s="1"/>
  <c r="H148" i="4"/>
  <c r="I145" i="4"/>
  <c r="O145" i="4"/>
  <c r="D72" i="4"/>
  <c r="H72" i="4"/>
  <c r="I141" i="4"/>
  <c r="I142" i="4" s="1"/>
  <c r="D99" i="4"/>
  <c r="F135" i="4"/>
  <c r="E135" i="4"/>
  <c r="E72" i="4"/>
  <c r="G72" i="4"/>
  <c r="F72" i="4"/>
  <c r="M121" i="3"/>
  <c r="J110" i="2"/>
  <c r="E184" i="2" s="1"/>
  <c r="E99" i="3"/>
  <c r="D142" i="3"/>
  <c r="K110" i="2"/>
  <c r="F184" i="2" s="1"/>
  <c r="D99" i="3"/>
  <c r="G99" i="3"/>
  <c r="F135" i="3"/>
  <c r="G135" i="3"/>
  <c r="E135" i="3"/>
  <c r="H135" i="3"/>
  <c r="F72" i="3"/>
  <c r="F75" i="3" s="1"/>
  <c r="F107" i="3" s="1"/>
  <c r="G72" i="3"/>
  <c r="G75" i="3" s="1"/>
  <c r="G107" i="3" s="1"/>
  <c r="M110" i="2"/>
  <c r="H184" i="2" s="1"/>
  <c r="O96" i="4"/>
  <c r="E81" i="1" s="1"/>
  <c r="G81" i="1" s="1"/>
  <c r="N110" i="2"/>
  <c r="I184" i="2" s="1"/>
  <c r="I113" i="4"/>
  <c r="D172" i="4" s="1"/>
  <c r="I110" i="2"/>
  <c r="L113" i="4"/>
  <c r="L110" i="2"/>
  <c r="O146" i="4"/>
  <c r="O118" i="4" s="1"/>
  <c r="O121" i="4" s="1"/>
  <c r="N121" i="4"/>
  <c r="J83" i="2"/>
  <c r="J85" i="2" s="1"/>
  <c r="I119" i="4"/>
  <c r="I121" i="4" s="1"/>
  <c r="P146" i="4"/>
  <c r="P118" i="4" s="1"/>
  <c r="P121" i="4" s="1"/>
  <c r="J225" i="2"/>
  <c r="J226" i="2" s="1"/>
  <c r="J38" i="2" s="1"/>
  <c r="L225" i="2"/>
  <c r="M225" i="2" s="1"/>
  <c r="N225" i="2" s="1"/>
  <c r="N226" i="2" s="1"/>
  <c r="N38" i="2" s="1"/>
  <c r="K225" i="2"/>
  <c r="K226" i="2" s="1"/>
  <c r="K38" i="2" s="1"/>
  <c r="N117" i="2"/>
  <c r="J117" i="2"/>
  <c r="M117" i="2"/>
  <c r="I117" i="2"/>
  <c r="L117" i="2"/>
  <c r="K117" i="2"/>
  <c r="I116" i="2"/>
  <c r="K207" i="2"/>
  <c r="J207" i="2"/>
  <c r="L207" i="2"/>
  <c r="M207" i="2" s="1"/>
  <c r="N207" i="2" s="1"/>
  <c r="K122" i="2"/>
  <c r="I121" i="2"/>
  <c r="I156" i="2" s="1"/>
  <c r="N122" i="2"/>
  <c r="J122" i="2"/>
  <c r="M122" i="2"/>
  <c r="I122" i="2"/>
  <c r="L122" i="2"/>
  <c r="I39" i="1"/>
  <c r="F5" i="3"/>
  <c r="G4" i="3"/>
  <c r="M41" i="1"/>
  <c r="D163" i="3"/>
  <c r="J2" i="3"/>
  <c r="O63" i="3"/>
  <c r="I67" i="3"/>
  <c r="J63" i="3"/>
  <c r="I205" i="2"/>
  <c r="I208" i="2" s="1"/>
  <c r="I33" i="2" s="1"/>
  <c r="I64" i="3"/>
  <c r="I223" i="2"/>
  <c r="I226" i="2" s="1"/>
  <c r="I38" i="2" s="1"/>
  <c r="O68" i="3"/>
  <c r="P68" i="3" s="1"/>
  <c r="D84" i="3"/>
  <c r="L213" i="2"/>
  <c r="M213" i="2" s="1"/>
  <c r="N213" i="2" s="1"/>
  <c r="K213" i="2"/>
  <c r="J213" i="2"/>
  <c r="L127" i="2"/>
  <c r="K127" i="2"/>
  <c r="I126" i="2"/>
  <c r="I157" i="2" s="1"/>
  <c r="N127" i="2"/>
  <c r="J127" i="2"/>
  <c r="M127" i="2"/>
  <c r="I127" i="2"/>
  <c r="J149" i="2"/>
  <c r="L219" i="2"/>
  <c r="M219" i="2" s="1"/>
  <c r="N219" i="2" s="1"/>
  <c r="K219" i="2"/>
  <c r="J219" i="2"/>
  <c r="J150" i="2"/>
  <c r="E175" i="2"/>
  <c r="D176" i="2"/>
  <c r="G172" i="3"/>
  <c r="L115" i="3"/>
  <c r="I96" i="3"/>
  <c r="P140" i="3"/>
  <c r="P113" i="3" s="1"/>
  <c r="P115" i="3" s="1"/>
  <c r="O140" i="3"/>
  <c r="O113" i="3" s="1"/>
  <c r="O115" i="3" s="1"/>
  <c r="I113" i="3"/>
  <c r="H172" i="3"/>
  <c r="M115" i="3"/>
  <c r="I118" i="3"/>
  <c r="I121" i="3" s="1"/>
  <c r="P146" i="3"/>
  <c r="P118" i="3" s="1"/>
  <c r="P121" i="3" s="1"/>
  <c r="O146" i="3"/>
  <c r="O118" i="3" s="1"/>
  <c r="G145" i="3"/>
  <c r="G147" i="3" s="1"/>
  <c r="E5" i="3"/>
  <c r="E172" i="3"/>
  <c r="J115" i="3"/>
  <c r="I172" i="3"/>
  <c r="N115" i="3"/>
  <c r="F172" i="3"/>
  <c r="K115" i="3"/>
  <c r="O96" i="3"/>
  <c r="O119" i="3"/>
  <c r="D163" i="4"/>
  <c r="J2" i="4"/>
  <c r="K2" i="4" s="1"/>
  <c r="L2" i="4" s="1"/>
  <c r="M2" i="4" s="1"/>
  <c r="N2" i="4" s="1"/>
  <c r="G181" i="3"/>
  <c r="J115" i="4"/>
  <c r="E172" i="4"/>
  <c r="N115" i="4"/>
  <c r="I172" i="4"/>
  <c r="O2" i="4"/>
  <c r="I115" i="4"/>
  <c r="D135" i="3"/>
  <c r="D136" i="3" s="1"/>
  <c r="D110" i="3" s="1"/>
  <c r="D123" i="3" s="1"/>
  <c r="F5" i="4"/>
  <c r="G4" i="4"/>
  <c r="I64" i="4"/>
  <c r="I65" i="4" s="1"/>
  <c r="I67" i="4"/>
  <c r="O63" i="4"/>
  <c r="H172" i="4"/>
  <c r="M115" i="4"/>
  <c r="P96" i="4"/>
  <c r="J96" i="4"/>
  <c r="J63" i="4"/>
  <c r="O140" i="4"/>
  <c r="O113" i="4" s="1"/>
  <c r="O115" i="4" s="1"/>
  <c r="P140" i="4"/>
  <c r="P113" i="4" s="1"/>
  <c r="P115" i="4" s="1"/>
  <c r="K115" i="4"/>
  <c r="F172" i="4"/>
  <c r="L121" i="4"/>
  <c r="O68" i="4"/>
  <c r="P68" i="4" s="1"/>
  <c r="D135" i="4"/>
  <c r="D136" i="4" s="1"/>
  <c r="H135" i="4"/>
  <c r="P4" i="4"/>
  <c r="I147" i="4"/>
  <c r="I93" i="4" s="1"/>
  <c r="G186" i="4"/>
  <c r="G135" i="4"/>
  <c r="F136" i="4" l="1"/>
  <c r="F109" i="4" s="1"/>
  <c r="D37" i="1"/>
  <c r="H181" i="4"/>
  <c r="D128" i="1"/>
  <c r="G136" i="4"/>
  <c r="G109" i="4" s="1"/>
  <c r="G75" i="4"/>
  <c r="G107" i="4" s="1"/>
  <c r="E75" i="4"/>
  <c r="E107" i="4" s="1"/>
  <c r="E97" i="4" s="1"/>
  <c r="H75" i="4"/>
  <c r="H107" i="4" s="1"/>
  <c r="F75" i="4"/>
  <c r="F107" i="4" s="1"/>
  <c r="F110" i="4" s="1"/>
  <c r="F123" i="4" s="1"/>
  <c r="D75" i="4"/>
  <c r="D107" i="4" s="1"/>
  <c r="D110" i="4" s="1"/>
  <c r="D123" i="4" s="1"/>
  <c r="M83" i="2"/>
  <c r="M85" i="2" s="1"/>
  <c r="K83" i="2"/>
  <c r="K85" i="2" s="1"/>
  <c r="D124" i="3"/>
  <c r="D125" i="3" s="1"/>
  <c r="E124" i="3" s="1"/>
  <c r="E139" i="3"/>
  <c r="E142" i="3" s="1"/>
  <c r="D85" i="3"/>
  <c r="D87" i="3" s="1"/>
  <c r="D101" i="3" s="1"/>
  <c r="D3" i="3" s="1"/>
  <c r="G136" i="3"/>
  <c r="G109" i="3" s="1"/>
  <c r="G110" i="3" s="1"/>
  <c r="G123" i="3" s="1"/>
  <c r="H136" i="3"/>
  <c r="H109" i="3" s="1"/>
  <c r="H110" i="3" s="1"/>
  <c r="H123" i="3" s="1"/>
  <c r="F136" i="3"/>
  <c r="F109" i="3" s="1"/>
  <c r="F110" i="3" s="1"/>
  <c r="F123" i="3" s="1"/>
  <c r="M226" i="2"/>
  <c r="M38" i="2" s="1"/>
  <c r="L226" i="2"/>
  <c r="L38" i="2" s="1"/>
  <c r="N83" i="2"/>
  <c r="N85" i="2" s="1"/>
  <c r="O147" i="4"/>
  <c r="P145" i="4" s="1"/>
  <c r="P147" i="4" s="1"/>
  <c r="G184" i="2"/>
  <c r="L83" i="2"/>
  <c r="L85" i="2" s="1"/>
  <c r="G172" i="4"/>
  <c r="L115" i="4"/>
  <c r="D184" i="2"/>
  <c r="I83" i="2"/>
  <c r="I85" i="2" s="1"/>
  <c r="M37" i="1"/>
  <c r="M50" i="1"/>
  <c r="J67" i="4"/>
  <c r="J64" i="4"/>
  <c r="K63" i="4"/>
  <c r="J206" i="2"/>
  <c r="O64" i="3"/>
  <c r="O65" i="3" s="1"/>
  <c r="I211" i="2"/>
  <c r="O67" i="3"/>
  <c r="P67" i="3" s="1"/>
  <c r="I217" i="2"/>
  <c r="K2" i="3"/>
  <c r="J2" i="2"/>
  <c r="I91" i="1" s="1"/>
  <c r="I66" i="1"/>
  <c r="I78" i="1"/>
  <c r="H136" i="4"/>
  <c r="H109" i="4" s="1"/>
  <c r="K96" i="4"/>
  <c r="O67" i="4"/>
  <c r="I218" i="2"/>
  <c r="E163" i="4"/>
  <c r="D164" i="4"/>
  <c r="O121" i="3"/>
  <c r="E176" i="2"/>
  <c r="F175" i="2"/>
  <c r="I128" i="2"/>
  <c r="J126" i="2" s="1"/>
  <c r="J128" i="2" s="1"/>
  <c r="K126" i="2" s="1"/>
  <c r="K128" i="2" s="1"/>
  <c r="L126" i="2" s="1"/>
  <c r="L128" i="2" s="1"/>
  <c r="M126" i="2" s="1"/>
  <c r="M128" i="2" s="1"/>
  <c r="N126" i="2" s="1"/>
  <c r="N128" i="2" s="1"/>
  <c r="I52" i="2"/>
  <c r="I102" i="2" s="1"/>
  <c r="D164" i="3"/>
  <c r="E163" i="3"/>
  <c r="H81" i="1"/>
  <c r="H145" i="3"/>
  <c r="H147" i="3" s="1"/>
  <c r="D172" i="3"/>
  <c r="I115" i="3"/>
  <c r="E136" i="3"/>
  <c r="E109" i="3" s="1"/>
  <c r="E110" i="3" s="1"/>
  <c r="E123" i="3" s="1"/>
  <c r="E84" i="3"/>
  <c r="J67" i="3"/>
  <c r="K63" i="3"/>
  <c r="J205" i="2"/>
  <c r="J208" i="2" s="1"/>
  <c r="J33" i="2" s="1"/>
  <c r="J64" i="3"/>
  <c r="H4" i="3"/>
  <c r="G5" i="3"/>
  <c r="I123" i="2"/>
  <c r="J121" i="2" s="1"/>
  <c r="J123" i="2" s="1"/>
  <c r="K121" i="2" s="1"/>
  <c r="K123" i="2" s="1"/>
  <c r="L121" i="2" s="1"/>
  <c r="L123" i="2" s="1"/>
  <c r="M121" i="2" s="1"/>
  <c r="M123" i="2" s="1"/>
  <c r="N121" i="2" s="1"/>
  <c r="N123" i="2" s="1"/>
  <c r="P5" i="4"/>
  <c r="P2" i="4"/>
  <c r="J139" i="4"/>
  <c r="I85" i="4"/>
  <c r="P85" i="4" s="1"/>
  <c r="D81" i="1"/>
  <c r="O64" i="4"/>
  <c r="P64" i="4" s="1"/>
  <c r="I212" i="2"/>
  <c r="E136" i="4"/>
  <c r="E109" i="4" s="1"/>
  <c r="J145" i="4"/>
  <c r="J147" i="4" s="1"/>
  <c r="P93" i="4"/>
  <c r="I148" i="4"/>
  <c r="H4" i="4"/>
  <c r="G5" i="4"/>
  <c r="O141" i="4"/>
  <c r="O142" i="4" s="1"/>
  <c r="P141" i="4"/>
  <c r="I69" i="4"/>
  <c r="P63" i="4"/>
  <c r="P96" i="3"/>
  <c r="J96" i="3"/>
  <c r="K150" i="2"/>
  <c r="K149" i="2"/>
  <c r="P63" i="3"/>
  <c r="I65" i="3"/>
  <c r="I118" i="2"/>
  <c r="J116" i="2" s="1"/>
  <c r="I155" i="2"/>
  <c r="G110" i="4" l="1"/>
  <c r="G123" i="4" s="1"/>
  <c r="D124" i="4"/>
  <c r="D125" i="4" s="1"/>
  <c r="E124" i="4" s="1"/>
  <c r="E98" i="4"/>
  <c r="E99" i="4" s="1"/>
  <c r="F97" i="4"/>
  <c r="G97" i="4" s="1"/>
  <c r="H110" i="4"/>
  <c r="H123" i="4" s="1"/>
  <c r="E110" i="4"/>
  <c r="E123" i="4" s="1"/>
  <c r="D84" i="4"/>
  <c r="D87" i="4" s="1"/>
  <c r="D101" i="4" s="1"/>
  <c r="D3" i="4" s="1"/>
  <c r="E125" i="3"/>
  <c r="F124" i="3" s="1"/>
  <c r="F125" i="3" s="1"/>
  <c r="G124" i="3" s="1"/>
  <c r="G125" i="3" s="1"/>
  <c r="F139" i="3"/>
  <c r="F142" i="3" s="1"/>
  <c r="E85" i="3"/>
  <c r="E87" i="3"/>
  <c r="E101" i="3" s="1"/>
  <c r="E3" i="3" s="1"/>
  <c r="O93" i="4"/>
  <c r="G182" i="4" s="1"/>
  <c r="J157" i="2"/>
  <c r="I214" i="2"/>
  <c r="I34" i="2" s="1"/>
  <c r="I53" i="2" s="1"/>
  <c r="I103" i="2" s="1"/>
  <c r="I4" i="3"/>
  <c r="H5" i="3"/>
  <c r="O5" i="3"/>
  <c r="O82" i="3" s="1"/>
  <c r="J211" i="2"/>
  <c r="L96" i="4"/>
  <c r="K64" i="4"/>
  <c r="K65" i="4" s="1"/>
  <c r="L63" i="4"/>
  <c r="K67" i="4"/>
  <c r="K206" i="2"/>
  <c r="J118" i="2"/>
  <c r="K116" i="2" s="1"/>
  <c r="J155" i="2"/>
  <c r="J156" i="2"/>
  <c r="J141" i="4"/>
  <c r="J69" i="4" s="1"/>
  <c r="J108" i="4" s="1"/>
  <c r="E170" i="4" s="1"/>
  <c r="J52" i="2"/>
  <c r="J102" i="2" s="1"/>
  <c r="O145" i="3"/>
  <c r="O147" i="3" s="1"/>
  <c r="I145" i="3"/>
  <c r="I147" i="3" s="1"/>
  <c r="E164" i="3"/>
  <c r="F163" i="3"/>
  <c r="D165" i="4"/>
  <c r="L2" i="3"/>
  <c r="K2" i="2"/>
  <c r="J91" i="1" s="1"/>
  <c r="O83" i="3"/>
  <c r="J212" i="2"/>
  <c r="L149" i="2"/>
  <c r="K156" i="2"/>
  <c r="K96" i="3"/>
  <c r="O69" i="4"/>
  <c r="O108" i="4" s="1"/>
  <c r="I108" i="4"/>
  <c r="D170" i="4" s="1"/>
  <c r="J93" i="4"/>
  <c r="J148" i="4"/>
  <c r="K145" i="4"/>
  <c r="K147" i="4" s="1"/>
  <c r="J217" i="2"/>
  <c r="E165" i="3"/>
  <c r="D165" i="3"/>
  <c r="F176" i="2"/>
  <c r="G175" i="2"/>
  <c r="E164" i="4"/>
  <c r="E165" i="4" s="1"/>
  <c r="F163" i="4"/>
  <c r="I220" i="2"/>
  <c r="I37" i="2" s="1"/>
  <c r="P64" i="3"/>
  <c r="J65" i="4"/>
  <c r="H66" i="1"/>
  <c r="H5" i="4"/>
  <c r="I4" i="4"/>
  <c r="O5" i="4"/>
  <c r="O82" i="4" s="1"/>
  <c r="K157" i="2"/>
  <c r="L150" i="2"/>
  <c r="P139" i="4"/>
  <c r="P142" i="4" s="1"/>
  <c r="O85" i="4"/>
  <c r="O148" i="4"/>
  <c r="I70" i="4"/>
  <c r="I71" i="4" s="1"/>
  <c r="I72" i="4" s="1"/>
  <c r="I74" i="4" s="1"/>
  <c r="K64" i="3"/>
  <c r="K65" i="3" s="1"/>
  <c r="K67" i="3"/>
  <c r="L63" i="3"/>
  <c r="K205" i="2"/>
  <c r="P65" i="3"/>
  <c r="P65" i="4"/>
  <c r="O65" i="4"/>
  <c r="J65" i="3"/>
  <c r="F84" i="3"/>
  <c r="P67" i="4"/>
  <c r="J218" i="2"/>
  <c r="M38" i="1"/>
  <c r="K208" i="2" l="1"/>
  <c r="K33" i="2" s="1"/>
  <c r="K52" i="2" s="1"/>
  <c r="K102" i="2" s="1"/>
  <c r="E78" i="1"/>
  <c r="D42" i="1"/>
  <c r="C183" i="4"/>
  <c r="F98" i="4"/>
  <c r="F99" i="4" s="1"/>
  <c r="E125" i="4"/>
  <c r="F124" i="4" s="1"/>
  <c r="F125" i="4" s="1"/>
  <c r="E84" i="4"/>
  <c r="E87" i="4" s="1"/>
  <c r="E101" i="4" s="1"/>
  <c r="E3" i="4" s="1"/>
  <c r="G139" i="3"/>
  <c r="G142" i="3" s="1"/>
  <c r="F85" i="3"/>
  <c r="F87" i="3" s="1"/>
  <c r="F101" i="3" s="1"/>
  <c r="F3" i="3" s="1"/>
  <c r="I35" i="2"/>
  <c r="I61" i="2"/>
  <c r="I62" i="2" s="1"/>
  <c r="P69" i="4"/>
  <c r="P108" i="4" s="1"/>
  <c r="D167" i="4"/>
  <c r="I75" i="4"/>
  <c r="I107" i="4" s="1"/>
  <c r="L67" i="3"/>
  <c r="M63" i="3"/>
  <c r="L205" i="2"/>
  <c r="L64" i="3"/>
  <c r="H175" i="2"/>
  <c r="G176" i="2"/>
  <c r="O133" i="3"/>
  <c r="D68" i="1"/>
  <c r="J145" i="3"/>
  <c r="J147" i="3" s="1"/>
  <c r="I148" i="3"/>
  <c r="I93" i="3"/>
  <c r="P93" i="3" s="1"/>
  <c r="G98" i="4"/>
  <c r="G99" i="4" s="1"/>
  <c r="H97" i="4"/>
  <c r="K118" i="2"/>
  <c r="L116" i="2" s="1"/>
  <c r="K155" i="2"/>
  <c r="L67" i="4"/>
  <c r="M63" i="4"/>
  <c r="L64" i="4"/>
  <c r="L65" i="4" s="1"/>
  <c r="L206" i="2"/>
  <c r="O132" i="3"/>
  <c r="D67" i="1"/>
  <c r="H182" i="4"/>
  <c r="L156" i="2"/>
  <c r="M149" i="2"/>
  <c r="D51" i="1"/>
  <c r="F51" i="1" s="1"/>
  <c r="F70" i="1" s="1"/>
  <c r="E70" i="1"/>
  <c r="I5" i="4"/>
  <c r="J4" i="4"/>
  <c r="G78" i="1"/>
  <c r="L96" i="3"/>
  <c r="P145" i="3"/>
  <c r="P147" i="3" s="1"/>
  <c r="O93" i="3"/>
  <c r="M40" i="1" s="1"/>
  <c r="K212" i="2"/>
  <c r="P148" i="4"/>
  <c r="J70" i="4"/>
  <c r="J71" i="4" s="1"/>
  <c r="J72" i="4" s="1"/>
  <c r="G84" i="3"/>
  <c r="H124" i="3"/>
  <c r="H125" i="3" s="1"/>
  <c r="K217" i="2"/>
  <c r="O83" i="4"/>
  <c r="M39" i="1"/>
  <c r="F164" i="4"/>
  <c r="F165" i="4" s="1"/>
  <c r="G163" i="4"/>
  <c r="J220" i="2"/>
  <c r="J37" i="2" s="1"/>
  <c r="M2" i="3"/>
  <c r="L2" i="2"/>
  <c r="K91" i="1" s="1"/>
  <c r="F164" i="3"/>
  <c r="G163" i="3"/>
  <c r="K218" i="2"/>
  <c r="J4" i="3"/>
  <c r="I5" i="3"/>
  <c r="O132" i="4"/>
  <c r="E67" i="1"/>
  <c r="G67" i="1" s="1"/>
  <c r="L67" i="1" s="1"/>
  <c r="D24" i="1"/>
  <c r="D25" i="1" s="1"/>
  <c r="I38" i="1"/>
  <c r="I81" i="1" s="1"/>
  <c r="L81" i="1" s="1"/>
  <c r="M42" i="1"/>
  <c r="J66" i="1" s="1"/>
  <c r="J82" i="1" s="1"/>
  <c r="K211" i="2"/>
  <c r="O70" i="4"/>
  <c r="P70" i="4" s="1"/>
  <c r="L157" i="2"/>
  <c r="M150" i="2"/>
  <c r="O91" i="4"/>
  <c r="K148" i="4"/>
  <c r="K70" i="4" s="1"/>
  <c r="L145" i="4"/>
  <c r="L147" i="4" s="1"/>
  <c r="K93" i="4"/>
  <c r="O91" i="3"/>
  <c r="O71" i="4"/>
  <c r="O72" i="4" s="1"/>
  <c r="F165" i="3"/>
  <c r="J142" i="4"/>
  <c r="M96" i="4"/>
  <c r="J214" i="2"/>
  <c r="J34" i="2" s="1"/>
  <c r="G124" i="4" l="1"/>
  <c r="G125" i="4" s="1"/>
  <c r="F84" i="4"/>
  <c r="F87" i="4" s="1"/>
  <c r="F101" i="4" s="1"/>
  <c r="F3" i="4" s="1"/>
  <c r="G70" i="1"/>
  <c r="L70" i="1" s="1"/>
  <c r="I104" i="2"/>
  <c r="I105" i="2" s="1"/>
  <c r="H139" i="3"/>
  <c r="H142" i="3" s="1"/>
  <c r="G85" i="3"/>
  <c r="G87" i="3" s="1"/>
  <c r="G101" i="3" s="1"/>
  <c r="G3" i="3" s="1"/>
  <c r="M67" i="1"/>
  <c r="H52" i="2" s="1"/>
  <c r="H102" i="2" s="1"/>
  <c r="P71" i="4"/>
  <c r="P72" i="4" s="1"/>
  <c r="K214" i="2"/>
  <c r="K34" i="2" s="1"/>
  <c r="K61" i="2" s="1"/>
  <c r="E167" i="4"/>
  <c r="J74" i="4"/>
  <c r="J75" i="4" s="1"/>
  <c r="C172" i="2"/>
  <c r="G193" i="2" s="1"/>
  <c r="J115" i="1"/>
  <c r="L100" i="1"/>
  <c r="M115" i="1"/>
  <c r="I115" i="1"/>
  <c r="K100" i="1"/>
  <c r="L115" i="1"/>
  <c r="J100" i="1"/>
  <c r="L133" i="1"/>
  <c r="M133" i="1" s="1"/>
  <c r="K115" i="1"/>
  <c r="M100" i="1"/>
  <c r="I100" i="1"/>
  <c r="O133" i="4"/>
  <c r="E68" i="1"/>
  <c r="L155" i="2"/>
  <c r="L118" i="2"/>
  <c r="M116" i="2" s="1"/>
  <c r="N2" i="3"/>
  <c r="N2" i="2" s="1"/>
  <c r="M91" i="1" s="1"/>
  <c r="M2" i="2"/>
  <c r="L91" i="1" s="1"/>
  <c r="C183" i="3"/>
  <c r="K130" i="1" s="1"/>
  <c r="G182" i="3"/>
  <c r="G194" i="2" s="1"/>
  <c r="D78" i="1"/>
  <c r="I82" i="4"/>
  <c r="I91" i="4"/>
  <c r="I83" i="4"/>
  <c r="L218" i="2"/>
  <c r="I97" i="4"/>
  <c r="H98" i="4"/>
  <c r="H99" i="4" s="1"/>
  <c r="K145" i="3"/>
  <c r="K147" i="3" s="1"/>
  <c r="J148" i="3"/>
  <c r="J93" i="3"/>
  <c r="I175" i="2"/>
  <c r="I176" i="2" s="1"/>
  <c r="J176" i="2" s="1"/>
  <c r="H176" i="2"/>
  <c r="L208" i="2"/>
  <c r="L33" i="2" s="1"/>
  <c r="D168" i="4"/>
  <c r="D169" i="4" s="1"/>
  <c r="D171" i="4"/>
  <c r="K4" i="4"/>
  <c r="J5" i="4"/>
  <c r="O148" i="3"/>
  <c r="I70" i="3"/>
  <c r="K139" i="4"/>
  <c r="J85" i="4"/>
  <c r="H163" i="3"/>
  <c r="G164" i="3"/>
  <c r="K66" i="1"/>
  <c r="K78" i="1" s="1"/>
  <c r="L78" i="1" s="1"/>
  <c r="M44" i="1"/>
  <c r="I37" i="1" s="1"/>
  <c r="I44" i="1" s="1"/>
  <c r="K220" i="2"/>
  <c r="K37" i="2" s="1"/>
  <c r="M156" i="2"/>
  <c r="N149" i="2"/>
  <c r="N156" i="2" s="1"/>
  <c r="L212" i="2"/>
  <c r="M67" i="3"/>
  <c r="N63" i="3"/>
  <c r="M205" i="2"/>
  <c r="M64" i="3"/>
  <c r="J53" i="2"/>
  <c r="J103" i="2" s="1"/>
  <c r="J61" i="2"/>
  <c r="J35" i="2"/>
  <c r="J5" i="3"/>
  <c r="K4" i="3"/>
  <c r="G165" i="4"/>
  <c r="O124" i="3"/>
  <c r="I124" i="3"/>
  <c r="H84" i="3"/>
  <c r="L217" i="2"/>
  <c r="O134" i="3"/>
  <c r="O135" i="3" s="1"/>
  <c r="O136" i="3" s="1"/>
  <c r="O109" i="3" s="1"/>
  <c r="O92" i="3"/>
  <c r="O94" i="3" s="1"/>
  <c r="D76" i="1"/>
  <c r="D77" i="1" s="1"/>
  <c r="N96" i="4"/>
  <c r="O134" i="4"/>
  <c r="O92" i="4"/>
  <c r="O94" i="4" s="1"/>
  <c r="E76" i="1"/>
  <c r="M145" i="4"/>
  <c r="M147" i="4" s="1"/>
  <c r="L148" i="4"/>
  <c r="L70" i="4" s="1"/>
  <c r="L93" i="4"/>
  <c r="N150" i="2"/>
  <c r="N157" i="2" s="1"/>
  <c r="M157" i="2"/>
  <c r="M81" i="1"/>
  <c r="I82" i="3"/>
  <c r="I83" i="3"/>
  <c r="I91" i="3"/>
  <c r="H163" i="4"/>
  <c r="G164" i="4"/>
  <c r="M96" i="3"/>
  <c r="I131" i="2"/>
  <c r="M64" i="4"/>
  <c r="M65" i="4" s="1"/>
  <c r="N63" i="4"/>
  <c r="M67" i="4"/>
  <c r="M206" i="2"/>
  <c r="L211" i="2"/>
  <c r="L65" i="3"/>
  <c r="O74" i="4"/>
  <c r="O75" i="4" s="1"/>
  <c r="H124" i="4" l="1"/>
  <c r="H125" i="4" s="1"/>
  <c r="G84" i="4"/>
  <c r="G87" i="4" s="1"/>
  <c r="G101" i="4" s="1"/>
  <c r="G3" i="4" s="1"/>
  <c r="H85" i="3"/>
  <c r="I139" i="3"/>
  <c r="I141" i="3" s="1"/>
  <c r="I142" i="3" s="1"/>
  <c r="I85" i="3" s="1"/>
  <c r="P85" i="3" s="1"/>
  <c r="O139" i="3"/>
  <c r="H87" i="3"/>
  <c r="H101" i="3" s="1"/>
  <c r="H3" i="3" s="1"/>
  <c r="K35" i="2"/>
  <c r="K53" i="2"/>
  <c r="K103" i="2" s="1"/>
  <c r="L220" i="2"/>
  <c r="L37" i="2" s="1"/>
  <c r="O135" i="4"/>
  <c r="O136" i="4" s="1"/>
  <c r="O109" i="4" s="1"/>
  <c r="M208" i="2"/>
  <c r="M33" i="2" s="1"/>
  <c r="M52" i="2" s="1"/>
  <c r="M102" i="2" s="1"/>
  <c r="O107" i="4"/>
  <c r="O97" i="4"/>
  <c r="I132" i="2"/>
  <c r="I133" i="2" s="1"/>
  <c r="J131" i="2" s="1"/>
  <c r="I158" i="2"/>
  <c r="H165" i="3"/>
  <c r="J165" i="3" s="1"/>
  <c r="P82" i="4"/>
  <c r="P132" i="4" s="1"/>
  <c r="I132" i="4"/>
  <c r="N67" i="4"/>
  <c r="N64" i="4"/>
  <c r="N65" i="4" s="1"/>
  <c r="N206" i="2"/>
  <c r="K141" i="4"/>
  <c r="K69" i="4" s="1"/>
  <c r="H138" i="2"/>
  <c r="D79" i="1"/>
  <c r="I163" i="4"/>
  <c r="I164" i="4" s="1"/>
  <c r="J164" i="4" s="1"/>
  <c r="H164" i="4"/>
  <c r="I165" i="4" s="1"/>
  <c r="M217" i="2"/>
  <c r="L4" i="4"/>
  <c r="K5" i="4"/>
  <c r="J139" i="3"/>
  <c r="N96" i="3"/>
  <c r="H164" i="3"/>
  <c r="I163" i="3"/>
  <c r="I164" i="3" s="1"/>
  <c r="J164" i="3" s="1"/>
  <c r="P97" i="4"/>
  <c r="P98" i="4" s="1"/>
  <c r="J97" i="4"/>
  <c r="I98" i="4"/>
  <c r="O141" i="3"/>
  <c r="O142" i="3" s="1"/>
  <c r="P141" i="3"/>
  <c r="I69" i="3"/>
  <c r="L214" i="2"/>
  <c r="L34" i="2" s="1"/>
  <c r="L35" i="2" s="1"/>
  <c r="M212" i="2"/>
  <c r="I134" i="3"/>
  <c r="I92" i="3"/>
  <c r="I94" i="3" s="1"/>
  <c r="P91" i="3"/>
  <c r="H66" i="2"/>
  <c r="E77" i="1"/>
  <c r="E79" i="1" s="1"/>
  <c r="G76" i="1"/>
  <c r="L76" i="1" s="1"/>
  <c r="J82" i="3"/>
  <c r="J132" i="3" s="1"/>
  <c r="J83" i="3"/>
  <c r="J133" i="3" s="1"/>
  <c r="J91" i="3"/>
  <c r="N67" i="3"/>
  <c r="N205" i="2"/>
  <c r="N64" i="3"/>
  <c r="K104" i="2"/>
  <c r="K62" i="2"/>
  <c r="L52" i="2"/>
  <c r="L102" i="2" s="1"/>
  <c r="P148" i="3"/>
  <c r="J70" i="3"/>
  <c r="I133" i="4"/>
  <c r="P83" i="4"/>
  <c r="P133" i="4" s="1"/>
  <c r="M118" i="2"/>
  <c r="N116" i="2" s="1"/>
  <c r="M155" i="2"/>
  <c r="J107" i="4"/>
  <c r="I95" i="1"/>
  <c r="I103" i="1" s="1"/>
  <c r="I132" i="3"/>
  <c r="P82" i="3"/>
  <c r="P132" i="3" s="1"/>
  <c r="N145" i="4"/>
  <c r="N147" i="4" s="1"/>
  <c r="M148" i="4"/>
  <c r="M70" i="4" s="1"/>
  <c r="M93" i="4"/>
  <c r="J104" i="2"/>
  <c r="J105" i="2" s="1"/>
  <c r="J106" i="2" s="1"/>
  <c r="J62" i="2"/>
  <c r="O70" i="3"/>
  <c r="P70" i="3" s="1"/>
  <c r="E171" i="4"/>
  <c r="E168" i="4"/>
  <c r="E169" i="4" s="1"/>
  <c r="G165" i="3"/>
  <c r="L4" i="3"/>
  <c r="K5" i="3"/>
  <c r="P74" i="4"/>
  <c r="P75" i="4" s="1"/>
  <c r="P107" i="4" s="1"/>
  <c r="M218" i="2"/>
  <c r="H165" i="4"/>
  <c r="J165" i="4" s="1"/>
  <c r="I133" i="3"/>
  <c r="P83" i="3"/>
  <c r="P133" i="3" s="1"/>
  <c r="M211" i="2"/>
  <c r="M65" i="3"/>
  <c r="M78" i="1"/>
  <c r="J82" i="4"/>
  <c r="J132" i="4" s="1"/>
  <c r="J91" i="4"/>
  <c r="J83" i="4"/>
  <c r="J133" i="4" s="1"/>
  <c r="K148" i="3"/>
  <c r="K70" i="3" s="1"/>
  <c r="L145" i="3"/>
  <c r="L147" i="3" s="1"/>
  <c r="K93" i="3"/>
  <c r="I134" i="4"/>
  <c r="I92" i="4"/>
  <c r="I94" i="4" s="1"/>
  <c r="P91" i="4"/>
  <c r="M214" i="2" l="1"/>
  <c r="M34" i="2" s="1"/>
  <c r="M61" i="2" s="1"/>
  <c r="H84" i="4"/>
  <c r="H87" i="4" s="1"/>
  <c r="H101" i="4" s="1"/>
  <c r="H3" i="4" s="1"/>
  <c r="I124" i="4"/>
  <c r="O124" i="4"/>
  <c r="O110" i="4"/>
  <c r="O123" i="4" s="1"/>
  <c r="K105" i="2"/>
  <c r="K106" i="2" s="1"/>
  <c r="F185" i="2" s="1"/>
  <c r="J132" i="2"/>
  <c r="J133" i="2" s="1"/>
  <c r="K131" i="2" s="1"/>
  <c r="J158" i="2"/>
  <c r="I108" i="3"/>
  <c r="D170" i="3" s="1"/>
  <c r="O69" i="3"/>
  <c r="I71" i="3"/>
  <c r="I72" i="3" s="1"/>
  <c r="N218" i="2"/>
  <c r="L77" i="1"/>
  <c r="L79" i="1" s="1"/>
  <c r="M76" i="1"/>
  <c r="K82" i="4"/>
  <c r="K132" i="4" s="1"/>
  <c r="K91" i="4"/>
  <c r="K83" i="4"/>
  <c r="K133" i="4" s="1"/>
  <c r="H143" i="2"/>
  <c r="I141" i="2" s="1"/>
  <c r="I136" i="2"/>
  <c r="P134" i="4"/>
  <c r="P135" i="4" s="1"/>
  <c r="P136" i="4" s="1"/>
  <c r="P109" i="4" s="1"/>
  <c r="P110" i="4" s="1"/>
  <c r="P123" i="4" s="1"/>
  <c r="P92" i="4"/>
  <c r="P94" i="4" s="1"/>
  <c r="P99" i="4" s="1"/>
  <c r="N93" i="4"/>
  <c r="N148" i="4"/>
  <c r="N70" i="4" s="1"/>
  <c r="N211" i="2"/>
  <c r="J98" i="4"/>
  <c r="J79" i="2"/>
  <c r="E185" i="2"/>
  <c r="J134" i="3"/>
  <c r="J92" i="3"/>
  <c r="J94" i="3" s="1"/>
  <c r="P92" i="3"/>
  <c r="P94" i="3" s="1"/>
  <c r="P134" i="3"/>
  <c r="P135" i="3" s="1"/>
  <c r="P136" i="3" s="1"/>
  <c r="P109" i="3" s="1"/>
  <c r="H63" i="2"/>
  <c r="K82" i="3"/>
  <c r="K132" i="3" s="1"/>
  <c r="K91" i="3"/>
  <c r="K83" i="3"/>
  <c r="K133" i="3" s="1"/>
  <c r="I135" i="3"/>
  <c r="I136" i="3" s="1"/>
  <c r="N118" i="2"/>
  <c r="N155" i="2"/>
  <c r="N208" i="2"/>
  <c r="N33" i="2" s="1"/>
  <c r="P139" i="3"/>
  <c r="P142" i="3" s="1"/>
  <c r="O85" i="3"/>
  <c r="D70" i="1" s="1"/>
  <c r="M70" i="1" s="1"/>
  <c r="H55" i="2" s="1"/>
  <c r="H112" i="2" s="1"/>
  <c r="I109" i="2" s="1"/>
  <c r="L5" i="4"/>
  <c r="M4" i="4"/>
  <c r="K142" i="4"/>
  <c r="I135" i="4"/>
  <c r="I136" i="4" s="1"/>
  <c r="E82" i="1"/>
  <c r="O98" i="4"/>
  <c r="O99" i="4" s="1"/>
  <c r="L93" i="3"/>
  <c r="M145" i="3"/>
  <c r="M147" i="3" s="1"/>
  <c r="L148" i="3"/>
  <c r="L70" i="3" s="1"/>
  <c r="N217" i="2"/>
  <c r="J134" i="4"/>
  <c r="J135" i="4" s="1"/>
  <c r="J92" i="4"/>
  <c r="J94" i="4" s="1"/>
  <c r="M4" i="3"/>
  <c r="L5" i="3"/>
  <c r="N65" i="3"/>
  <c r="J135" i="3"/>
  <c r="J136" i="3" s="1"/>
  <c r="I66" i="2"/>
  <c r="L53" i="2"/>
  <c r="L103" i="2" s="1"/>
  <c r="L61" i="2"/>
  <c r="I99" i="4"/>
  <c r="I165" i="3"/>
  <c r="J141" i="3"/>
  <c r="J69" i="3" s="1"/>
  <c r="M220" i="2"/>
  <c r="M37" i="2" s="1"/>
  <c r="K108" i="4"/>
  <c r="F170" i="4" s="1"/>
  <c r="K71" i="4"/>
  <c r="K72" i="4" s="1"/>
  <c r="N212" i="2"/>
  <c r="M53" i="2" l="1"/>
  <c r="M103" i="2" s="1"/>
  <c r="M35" i="2"/>
  <c r="O125" i="4"/>
  <c r="K79" i="2"/>
  <c r="J136" i="4"/>
  <c r="E173" i="4" s="1"/>
  <c r="E174" i="4" s="1"/>
  <c r="E176" i="4" s="1"/>
  <c r="E178" i="4" s="1"/>
  <c r="N220" i="2"/>
  <c r="N37" i="2" s="1"/>
  <c r="J99" i="4"/>
  <c r="K132" i="2"/>
  <c r="K133" i="2" s="1"/>
  <c r="L131" i="2" s="1"/>
  <c r="K158" i="2"/>
  <c r="J108" i="3"/>
  <c r="E170" i="3" s="1"/>
  <c r="J71" i="3"/>
  <c r="J72" i="3" s="1"/>
  <c r="I111" i="2"/>
  <c r="I39" i="2" s="1"/>
  <c r="D167" i="3"/>
  <c r="I74" i="3"/>
  <c r="I75" i="3" s="1"/>
  <c r="K85" i="4"/>
  <c r="L139" i="4"/>
  <c r="I137" i="2"/>
  <c r="I142" i="2" s="1"/>
  <c r="I88" i="2" s="1"/>
  <c r="I91" i="2" s="1"/>
  <c r="I159" i="2"/>
  <c r="I160" i="2" s="1"/>
  <c r="I40" i="2" s="1"/>
  <c r="O108" i="3"/>
  <c r="O71" i="3"/>
  <c r="O72" i="3" s="1"/>
  <c r="L104" i="2"/>
  <c r="L105" i="2" s="1"/>
  <c r="L106" i="2" s="1"/>
  <c r="L62" i="2"/>
  <c r="E173" i="3"/>
  <c r="J109" i="3"/>
  <c r="K92" i="4"/>
  <c r="K94" i="4" s="1"/>
  <c r="K134" i="4"/>
  <c r="K135" i="4" s="1"/>
  <c r="K136" i="4" s="1"/>
  <c r="G82" i="1"/>
  <c r="E83" i="1"/>
  <c r="E84" i="1" s="1"/>
  <c r="N4" i="4"/>
  <c r="N5" i="4" s="1"/>
  <c r="M5" i="4"/>
  <c r="N52" i="2"/>
  <c r="N102" i="2" s="1"/>
  <c r="I109" i="3"/>
  <c r="D173" i="3"/>
  <c r="P69" i="3"/>
  <c r="N4" i="3"/>
  <c r="N5" i="3" s="1"/>
  <c r="M5" i="3"/>
  <c r="M104" i="2"/>
  <c r="M105" i="2" s="1"/>
  <c r="M62" i="2"/>
  <c r="I109" i="4"/>
  <c r="I110" i="4" s="1"/>
  <c r="I123" i="4" s="1"/>
  <c r="I125" i="4" s="1"/>
  <c r="I81" i="4" s="1"/>
  <c r="D173" i="4"/>
  <c r="D174" i="4" s="1"/>
  <c r="D176" i="4" s="1"/>
  <c r="D178" i="4" s="1"/>
  <c r="K134" i="3"/>
  <c r="K135" i="3" s="1"/>
  <c r="K136" i="3" s="1"/>
  <c r="K92" i="3"/>
  <c r="K94" i="3" s="1"/>
  <c r="F167" i="4"/>
  <c r="K74" i="4"/>
  <c r="K75" i="4" s="1"/>
  <c r="J142" i="3"/>
  <c r="J66" i="2"/>
  <c r="L82" i="3"/>
  <c r="L132" i="3" s="1"/>
  <c r="L83" i="3"/>
  <c r="L133" i="3" s="1"/>
  <c r="L91" i="3"/>
  <c r="N145" i="3"/>
  <c r="N147" i="3" s="1"/>
  <c r="M148" i="3"/>
  <c r="M70" i="3" s="1"/>
  <c r="M93" i="3"/>
  <c r="L82" i="4"/>
  <c r="L132" i="4" s="1"/>
  <c r="L83" i="4"/>
  <c r="L133" i="4" s="1"/>
  <c r="L91" i="4"/>
  <c r="N214" i="2"/>
  <c r="N34" i="2" s="1"/>
  <c r="N35" i="2" s="1"/>
  <c r="H61" i="2"/>
  <c r="M77" i="1"/>
  <c r="M79" i="1" s="1"/>
  <c r="J109" i="4" l="1"/>
  <c r="J110" i="4" s="1"/>
  <c r="P124" i="4"/>
  <c r="P125" i="4" s="1"/>
  <c r="O81" i="4"/>
  <c r="I138" i="2"/>
  <c r="J136" i="2" s="1"/>
  <c r="J137" i="2" s="1"/>
  <c r="J142" i="2" s="1"/>
  <c r="J88" i="2" s="1"/>
  <c r="J91" i="2" s="1"/>
  <c r="I112" i="2"/>
  <c r="I55" i="2" s="1"/>
  <c r="M106" i="2"/>
  <c r="H185" i="2" s="1"/>
  <c r="I143" i="2"/>
  <c r="I63" i="2" s="1"/>
  <c r="I64" i="2" s="1"/>
  <c r="F173" i="3"/>
  <c r="K109" i="3"/>
  <c r="F173" i="4"/>
  <c r="K109" i="4"/>
  <c r="L134" i="4"/>
  <c r="L135" i="4" s="1"/>
  <c r="L136" i="4" s="1"/>
  <c r="L92" i="4"/>
  <c r="L94" i="4" s="1"/>
  <c r="K139" i="3"/>
  <c r="J85" i="3"/>
  <c r="K107" i="4"/>
  <c r="J95" i="1"/>
  <c r="J103" i="1" s="1"/>
  <c r="K97" i="4"/>
  <c r="J123" i="4"/>
  <c r="I110" i="1"/>
  <c r="I118" i="1" s="1"/>
  <c r="C195" i="2"/>
  <c r="L130" i="1" s="1"/>
  <c r="M130" i="1" s="1"/>
  <c r="H104" i="2"/>
  <c r="H62" i="2"/>
  <c r="H64" i="2" s="1"/>
  <c r="M82" i="3"/>
  <c r="M132" i="3" s="1"/>
  <c r="M83" i="3"/>
  <c r="M133" i="3" s="1"/>
  <c r="M91" i="3"/>
  <c r="M82" i="4"/>
  <c r="M132" i="4" s="1"/>
  <c r="M83" i="4"/>
  <c r="M133" i="4" s="1"/>
  <c r="M91" i="4"/>
  <c r="L79" i="2"/>
  <c r="G185" i="2"/>
  <c r="I107" i="3"/>
  <c r="I110" i="3" s="1"/>
  <c r="I123" i="3" s="1"/>
  <c r="I125" i="3" s="1"/>
  <c r="I97" i="3"/>
  <c r="D182" i="2"/>
  <c r="I78" i="2"/>
  <c r="I41" i="2"/>
  <c r="I42" i="2" s="1"/>
  <c r="L132" i="2"/>
  <c r="L133" i="2" s="1"/>
  <c r="M131" i="2" s="1"/>
  <c r="L158" i="2"/>
  <c r="P108" i="3"/>
  <c r="P71" i="3"/>
  <c r="P72" i="3" s="1"/>
  <c r="D168" i="3"/>
  <c r="D169" i="3" s="1"/>
  <c r="D174" i="3" s="1"/>
  <c r="D176" i="3" s="1"/>
  <c r="D171" i="3"/>
  <c r="N148" i="3"/>
  <c r="N70" i="3" s="1"/>
  <c r="N93" i="3"/>
  <c r="K66" i="2"/>
  <c r="H82" i="1"/>
  <c r="L82" i="1" s="1"/>
  <c r="N53" i="2"/>
  <c r="N103" i="2" s="1"/>
  <c r="N61" i="2"/>
  <c r="L134" i="3"/>
  <c r="L135" i="3" s="1"/>
  <c r="L136" i="3" s="1"/>
  <c r="L92" i="3"/>
  <c r="L94" i="3" s="1"/>
  <c r="F171" i="4"/>
  <c r="F168" i="4"/>
  <c r="F169" i="4" s="1"/>
  <c r="J124" i="4"/>
  <c r="N82" i="3"/>
  <c r="N132" i="3" s="1"/>
  <c r="N83" i="3"/>
  <c r="N133" i="3" s="1"/>
  <c r="N91" i="3"/>
  <c r="N82" i="4"/>
  <c r="N132" i="4" s="1"/>
  <c r="N83" i="4"/>
  <c r="N133" i="4" s="1"/>
  <c r="N91" i="4"/>
  <c r="L141" i="4"/>
  <c r="L69" i="4" s="1"/>
  <c r="O74" i="3"/>
  <c r="P74" i="3" s="1"/>
  <c r="E167" i="3"/>
  <c r="J74" i="3"/>
  <c r="J75" i="3" s="1"/>
  <c r="J109" i="2" l="1"/>
  <c r="C182" i="4"/>
  <c r="O84" i="4"/>
  <c r="D43" i="1"/>
  <c r="D44" i="1" s="1"/>
  <c r="G183" i="4"/>
  <c r="E66" i="1"/>
  <c r="J159" i="2"/>
  <c r="J160" i="2" s="1"/>
  <c r="J40" i="2" s="1"/>
  <c r="D178" i="3"/>
  <c r="M79" i="2"/>
  <c r="J141" i="2"/>
  <c r="J143" i="2" s="1"/>
  <c r="O75" i="3"/>
  <c r="O97" i="3" s="1"/>
  <c r="F174" i="4"/>
  <c r="F176" i="4" s="1"/>
  <c r="F178" i="4" s="1"/>
  <c r="J125" i="4"/>
  <c r="J81" i="4" s="1"/>
  <c r="J84" i="4" s="1"/>
  <c r="J87" i="4" s="1"/>
  <c r="J101" i="4" s="1"/>
  <c r="J3" i="4" s="1"/>
  <c r="L109" i="4"/>
  <c r="G173" i="4"/>
  <c r="J107" i="3"/>
  <c r="J110" i="3" s="1"/>
  <c r="I94" i="1"/>
  <c r="I102" i="1" s="1"/>
  <c r="D179" i="2"/>
  <c r="D183" i="2" s="1"/>
  <c r="I44" i="2"/>
  <c r="I45" i="2" s="1"/>
  <c r="I77" i="2" s="1"/>
  <c r="J124" i="3"/>
  <c r="I81" i="3"/>
  <c r="E171" i="3"/>
  <c r="E168" i="3"/>
  <c r="E169" i="3" s="1"/>
  <c r="E174" i="3" s="1"/>
  <c r="E176" i="3" s="1"/>
  <c r="E178" i="3" s="1"/>
  <c r="L142" i="4"/>
  <c r="N134" i="3"/>
  <c r="N135" i="3" s="1"/>
  <c r="N92" i="3"/>
  <c r="N94" i="3" s="1"/>
  <c r="N134" i="4"/>
  <c r="N135" i="4" s="1"/>
  <c r="N92" i="4"/>
  <c r="N94" i="4" s="1"/>
  <c r="L83" i="1"/>
  <c r="L84" i="1" s="1"/>
  <c r="M134" i="3"/>
  <c r="M135" i="3" s="1"/>
  <c r="M136" i="3" s="1"/>
  <c r="M92" i="3"/>
  <c r="M94" i="3" s="1"/>
  <c r="L108" i="4"/>
  <c r="G170" i="4" s="1"/>
  <c r="L71" i="4"/>
  <c r="L72" i="4" s="1"/>
  <c r="P81" i="4"/>
  <c r="P84" i="4" s="1"/>
  <c r="P87" i="4" s="1"/>
  <c r="P101" i="4" s="1"/>
  <c r="I84" i="4"/>
  <c r="I87" i="4" s="1"/>
  <c r="I101" i="4" s="1"/>
  <c r="I3" i="4" s="1"/>
  <c r="G173" i="3"/>
  <c r="L109" i="3"/>
  <c r="K98" i="4"/>
  <c r="K99" i="4" s="1"/>
  <c r="P75" i="3"/>
  <c r="P107" i="3" s="1"/>
  <c r="P110" i="3" s="1"/>
  <c r="P123" i="3" s="1"/>
  <c r="M132" i="2"/>
  <c r="M133" i="2" s="1"/>
  <c r="N131" i="2" s="1"/>
  <c r="M158" i="2"/>
  <c r="N104" i="2"/>
  <c r="N105" i="2" s="1"/>
  <c r="N106" i="2" s="1"/>
  <c r="N62" i="2"/>
  <c r="L66" i="2"/>
  <c r="J138" i="2"/>
  <c r="K136" i="2" s="1"/>
  <c r="P97" i="3"/>
  <c r="P98" i="3" s="1"/>
  <c r="P99" i="3" s="1"/>
  <c r="J97" i="3"/>
  <c r="I98" i="3"/>
  <c r="I99" i="3" s="1"/>
  <c r="M134" i="4"/>
  <c r="M135" i="4" s="1"/>
  <c r="M136" i="4" s="1"/>
  <c r="M92" i="4"/>
  <c r="M94" i="4" s="1"/>
  <c r="J111" i="2"/>
  <c r="J39" i="2" s="1"/>
  <c r="K110" i="4"/>
  <c r="K141" i="3"/>
  <c r="K69" i="3" s="1"/>
  <c r="K124" i="4" l="1"/>
  <c r="H183" i="4"/>
  <c r="H184" i="4" s="1"/>
  <c r="G184" i="4"/>
  <c r="C178" i="4" s="1"/>
  <c r="D50" i="1"/>
  <c r="O87" i="4"/>
  <c r="E69" i="1"/>
  <c r="E72" i="1" s="1"/>
  <c r="E86" i="1" s="1"/>
  <c r="G66" i="1"/>
  <c r="L66" i="1" s="1"/>
  <c r="O107" i="3"/>
  <c r="O110" i="3" s="1"/>
  <c r="O123" i="3" s="1"/>
  <c r="O125" i="3" s="1"/>
  <c r="O81" i="3" s="1"/>
  <c r="N136" i="4"/>
  <c r="I173" i="4" s="1"/>
  <c r="N136" i="3"/>
  <c r="H173" i="3"/>
  <c r="M109" i="3"/>
  <c r="N79" i="2"/>
  <c r="I185" i="2"/>
  <c r="M109" i="4"/>
  <c r="H173" i="4"/>
  <c r="N132" i="2"/>
  <c r="N133" i="2" s="1"/>
  <c r="N158" i="2"/>
  <c r="G167" i="4"/>
  <c r="L74" i="4"/>
  <c r="L75" i="4" s="1"/>
  <c r="K123" i="4"/>
  <c r="K125" i="4" s="1"/>
  <c r="J110" i="1"/>
  <c r="J118" i="1" s="1"/>
  <c r="M66" i="2"/>
  <c r="K141" i="2"/>
  <c r="J63" i="2"/>
  <c r="J64" i="2" s="1"/>
  <c r="K108" i="3"/>
  <c r="F170" i="3" s="1"/>
  <c r="K71" i="3"/>
  <c r="K72" i="3" s="1"/>
  <c r="J123" i="3"/>
  <c r="J125" i="3" s="1"/>
  <c r="I109" i="1"/>
  <c r="I117" i="1" s="1"/>
  <c r="K137" i="2"/>
  <c r="K142" i="2" s="1"/>
  <c r="K88" i="2" s="1"/>
  <c r="K91" i="2" s="1"/>
  <c r="K159" i="2"/>
  <c r="K160" i="2" s="1"/>
  <c r="K40" i="2" s="1"/>
  <c r="M139" i="4"/>
  <c r="L85" i="4"/>
  <c r="D82" i="1"/>
  <c r="O98" i="3"/>
  <c r="O99" i="3" s="1"/>
  <c r="J78" i="2"/>
  <c r="E182" i="2"/>
  <c r="J41" i="2"/>
  <c r="J42" i="2" s="1"/>
  <c r="K142" i="3"/>
  <c r="J112" i="2"/>
  <c r="J98" i="3"/>
  <c r="J99" i="3" s="1"/>
  <c r="I84" i="3"/>
  <c r="I87" i="3" s="1"/>
  <c r="I101" i="3" s="1"/>
  <c r="I3" i="3" s="1"/>
  <c r="P81" i="3"/>
  <c r="P84" i="3" s="1"/>
  <c r="P87" i="3" s="1"/>
  <c r="P101" i="3" s="1"/>
  <c r="D180" i="2"/>
  <c r="D181" i="2" s="1"/>
  <c r="N109" i="4" l="1"/>
  <c r="P124" i="3"/>
  <c r="P125" i="3" s="1"/>
  <c r="M51" i="1"/>
  <c r="M52" i="1" s="1"/>
  <c r="O101" i="4"/>
  <c r="F50" i="1"/>
  <c r="D53" i="1"/>
  <c r="L107" i="4"/>
  <c r="L110" i="4" s="1"/>
  <c r="K95" i="1"/>
  <c r="K103" i="1" s="1"/>
  <c r="L97" i="4"/>
  <c r="E179" i="2"/>
  <c r="E183" i="2" s="1"/>
  <c r="J44" i="2"/>
  <c r="J45" i="2" s="1"/>
  <c r="D83" i="1"/>
  <c r="D84" i="1" s="1"/>
  <c r="M82" i="1"/>
  <c r="K138" i="2"/>
  <c r="L136" i="2" s="1"/>
  <c r="G183" i="3"/>
  <c r="C182" i="3"/>
  <c r="O84" i="3"/>
  <c r="O87" i="3" s="1"/>
  <c r="O101" i="3" s="1"/>
  <c r="D66" i="1"/>
  <c r="I173" i="3"/>
  <c r="N109" i="3"/>
  <c r="K109" i="2"/>
  <c r="J55" i="2"/>
  <c r="M141" i="4"/>
  <c r="M69" i="4" s="1"/>
  <c r="N66" i="2"/>
  <c r="G168" i="4"/>
  <c r="G169" i="4" s="1"/>
  <c r="G174" i="4" s="1"/>
  <c r="G176" i="4" s="1"/>
  <c r="G178" i="4" s="1"/>
  <c r="G171" i="4"/>
  <c r="K143" i="2"/>
  <c r="L139" i="3"/>
  <c r="K85" i="3"/>
  <c r="K124" i="3"/>
  <c r="J81" i="3"/>
  <c r="J84" i="3" s="1"/>
  <c r="J87" i="3" s="1"/>
  <c r="J101" i="3" s="1"/>
  <c r="J3" i="3" s="1"/>
  <c r="F167" i="3"/>
  <c r="K74" i="3"/>
  <c r="K75" i="3" s="1"/>
  <c r="L124" i="4"/>
  <c r="K81" i="4"/>
  <c r="K84" i="4" s="1"/>
  <c r="K87" i="4" s="1"/>
  <c r="K101" i="4" s="1"/>
  <c r="K3" i="4" s="1"/>
  <c r="G184" i="3" l="1"/>
  <c r="C178" i="3" s="1"/>
  <c r="G195" i="2"/>
  <c r="G196" i="2" s="1"/>
  <c r="F68" i="1"/>
  <c r="G68" i="1" s="1"/>
  <c r="L68" i="1" s="1"/>
  <c r="F53" i="1"/>
  <c r="M54" i="1" s="1"/>
  <c r="M55" i="1" s="1"/>
  <c r="M56" i="1" s="1"/>
  <c r="H71" i="1" s="1"/>
  <c r="L71" i="1" s="1"/>
  <c r="M71" i="1" s="1"/>
  <c r="H56" i="2" s="1"/>
  <c r="I56" i="2" s="1"/>
  <c r="J56" i="2" s="1"/>
  <c r="K56" i="2" s="1"/>
  <c r="L56" i="2" s="1"/>
  <c r="M56" i="2" s="1"/>
  <c r="N56" i="2" s="1"/>
  <c r="J77" i="2"/>
  <c r="J80" i="2" s="1"/>
  <c r="I96" i="1"/>
  <c r="I104" i="1" s="1"/>
  <c r="I106" i="1" s="1"/>
  <c r="F171" i="3"/>
  <c r="F168" i="3"/>
  <c r="F169" i="3" s="1"/>
  <c r="F174" i="3" s="1"/>
  <c r="F176" i="3" s="1"/>
  <c r="L141" i="2"/>
  <c r="K63" i="2"/>
  <c r="K64" i="2" s="1"/>
  <c r="D69" i="1"/>
  <c r="D72" i="1" s="1"/>
  <c r="D86" i="1" s="1"/>
  <c r="M66" i="1"/>
  <c r="L137" i="2"/>
  <c r="L142" i="2" s="1"/>
  <c r="L88" i="2" s="1"/>
  <c r="L91" i="2" s="1"/>
  <c r="L159" i="2"/>
  <c r="L160" i="2" s="1"/>
  <c r="L40" i="2" s="1"/>
  <c r="L141" i="3"/>
  <c r="L69" i="3" s="1"/>
  <c r="K111" i="2"/>
  <c r="K39" i="2" s="1"/>
  <c r="K107" i="3"/>
  <c r="K110" i="3" s="1"/>
  <c r="J94" i="1"/>
  <c r="J102" i="1" s="1"/>
  <c r="K97" i="3"/>
  <c r="M108" i="4"/>
  <c r="H170" i="4" s="1"/>
  <c r="M71" i="4"/>
  <c r="M72" i="4" s="1"/>
  <c r="K129" i="1"/>
  <c r="H67" i="2"/>
  <c r="M83" i="1"/>
  <c r="M84" i="1" s="1"/>
  <c r="E180" i="2"/>
  <c r="E181" i="2" s="1"/>
  <c r="E186" i="2" s="1"/>
  <c r="E188" i="2" s="1"/>
  <c r="L98" i="4"/>
  <c r="L99" i="4" s="1"/>
  <c r="M142" i="4"/>
  <c r="L123" i="4"/>
  <c r="L125" i="4" s="1"/>
  <c r="K110" i="1"/>
  <c r="K118" i="1" s="1"/>
  <c r="M68" i="1" l="1"/>
  <c r="H53" i="2" s="1"/>
  <c r="H103" i="2" s="1"/>
  <c r="H105" i="2" s="1"/>
  <c r="I106" i="2" s="1"/>
  <c r="L69" i="1"/>
  <c r="L72" i="1" s="1"/>
  <c r="L86" i="1" s="1"/>
  <c r="F178" i="3"/>
  <c r="L138" i="2"/>
  <c r="M136" i="2" s="1"/>
  <c r="M159" i="2" s="1"/>
  <c r="M160" i="2" s="1"/>
  <c r="M40" i="2" s="1"/>
  <c r="K78" i="2"/>
  <c r="F182" i="2"/>
  <c r="K41" i="2"/>
  <c r="K42" i="2" s="1"/>
  <c r="L108" i="3"/>
  <c r="G170" i="3" s="1"/>
  <c r="L71" i="3"/>
  <c r="L72" i="3" s="1"/>
  <c r="N139" i="4"/>
  <c r="M85" i="4"/>
  <c r="M74" i="4"/>
  <c r="M75" i="4" s="1"/>
  <c r="H167" i="4"/>
  <c r="K123" i="3"/>
  <c r="K125" i="3" s="1"/>
  <c r="J109" i="1"/>
  <c r="J117" i="1" s="1"/>
  <c r="L142" i="3"/>
  <c r="H51" i="2"/>
  <c r="L143" i="2"/>
  <c r="K98" i="3"/>
  <c r="K99" i="3" s="1"/>
  <c r="M124" i="4"/>
  <c r="L81" i="4"/>
  <c r="L84" i="4" s="1"/>
  <c r="L87" i="4" s="1"/>
  <c r="L101" i="4" s="1"/>
  <c r="L3" i="4" s="1"/>
  <c r="I67" i="2"/>
  <c r="H68" i="2"/>
  <c r="H69" i="2" s="1"/>
  <c r="K112" i="2"/>
  <c r="J93" i="2"/>
  <c r="I111" i="1"/>
  <c r="I119" i="1" s="1"/>
  <c r="I121" i="1" s="1"/>
  <c r="I79" i="2" l="1"/>
  <c r="I80" i="2" s="1"/>
  <c r="I93" i="2" s="1"/>
  <c r="D185" i="2"/>
  <c r="D186" i="2" s="1"/>
  <c r="D188" i="2" s="1"/>
  <c r="M69" i="1"/>
  <c r="M72" i="1" s="1"/>
  <c r="M86" i="1" s="1"/>
  <c r="M137" i="2"/>
  <c r="M142" i="2" s="1"/>
  <c r="M88" i="2" s="1"/>
  <c r="M91" i="2" s="1"/>
  <c r="C194" i="2"/>
  <c r="H95" i="2"/>
  <c r="I94" i="2" s="1"/>
  <c r="H54" i="2"/>
  <c r="H57" i="2" s="1"/>
  <c r="H71" i="2" s="1"/>
  <c r="H3" i="2" s="1"/>
  <c r="M107" i="4"/>
  <c r="M110" i="4" s="1"/>
  <c r="L95" i="1"/>
  <c r="L103" i="1" s="1"/>
  <c r="M97" i="4"/>
  <c r="N141" i="4"/>
  <c r="N69" i="4" s="1"/>
  <c r="G167" i="3"/>
  <c r="L74" i="3"/>
  <c r="L75" i="3" s="1"/>
  <c r="H168" i="4"/>
  <c r="H169" i="4" s="1"/>
  <c r="H174" i="4" s="1"/>
  <c r="H176" i="4" s="1"/>
  <c r="H178" i="4" s="1"/>
  <c r="H171" i="4"/>
  <c r="J67" i="2"/>
  <c r="I68" i="2"/>
  <c r="I69" i="2" s="1"/>
  <c r="M141" i="2"/>
  <c r="L63" i="2"/>
  <c r="L64" i="2" s="1"/>
  <c r="M139" i="3"/>
  <c r="L85" i="3"/>
  <c r="L109" i="2"/>
  <c r="K55" i="2"/>
  <c r="K81" i="3"/>
  <c r="K84" i="3" s="1"/>
  <c r="K87" i="3" s="1"/>
  <c r="K101" i="3" s="1"/>
  <c r="K3" i="3" s="1"/>
  <c r="L124" i="3"/>
  <c r="F179" i="2"/>
  <c r="K44" i="2"/>
  <c r="K45" i="2" s="1"/>
  <c r="N164" i="4" l="1"/>
  <c r="J174" i="4" s="1"/>
  <c r="J176" i="4" s="1"/>
  <c r="J178" i="4" s="1"/>
  <c r="C176" i="4" s="1"/>
  <c r="I95" i="2"/>
  <c r="I51" i="2" s="1"/>
  <c r="I54" i="2" s="1"/>
  <c r="I57" i="2" s="1"/>
  <c r="I71" i="2" s="1"/>
  <c r="I3" i="2" s="1"/>
  <c r="M143" i="2"/>
  <c r="M63" i="2" s="1"/>
  <c r="M64" i="2" s="1"/>
  <c r="M138" i="2"/>
  <c r="N136" i="2" s="1"/>
  <c r="N142" i="4"/>
  <c r="N85" i="4" s="1"/>
  <c r="L107" i="3"/>
  <c r="L110" i="3" s="1"/>
  <c r="K94" i="1"/>
  <c r="K102" i="1" s="1"/>
  <c r="L97" i="3"/>
  <c r="F180" i="2"/>
  <c r="F181" i="2" s="1"/>
  <c r="F186" i="2" s="1"/>
  <c r="F188" i="2" s="1"/>
  <c r="L111" i="2"/>
  <c r="L39" i="2" s="1"/>
  <c r="M123" i="4"/>
  <c r="M125" i="4" s="1"/>
  <c r="L110" i="1"/>
  <c r="L118" i="1" s="1"/>
  <c r="F183" i="2"/>
  <c r="N108" i="4"/>
  <c r="I170" i="4" s="1"/>
  <c r="N71" i="4"/>
  <c r="N72" i="4" s="1"/>
  <c r="K77" i="2"/>
  <c r="K80" i="2" s="1"/>
  <c r="J96" i="1"/>
  <c r="J104" i="1" s="1"/>
  <c r="J106" i="1" s="1"/>
  <c r="I139" i="1" s="1"/>
  <c r="K67" i="2"/>
  <c r="J68" i="2"/>
  <c r="J69" i="2" s="1"/>
  <c r="M141" i="3"/>
  <c r="M69" i="3" s="1"/>
  <c r="M98" i="4"/>
  <c r="M99" i="4" s="1"/>
  <c r="J94" i="2"/>
  <c r="J95" i="2" s="1"/>
  <c r="G171" i="3"/>
  <c r="G168" i="3"/>
  <c r="G169" i="3" s="1"/>
  <c r="G174" i="3" s="1"/>
  <c r="G176" i="3" s="1"/>
  <c r="L129" i="1"/>
  <c r="M129" i="1" s="1"/>
  <c r="N141" i="2" l="1"/>
  <c r="N159" i="2"/>
  <c r="N160" i="2" s="1"/>
  <c r="N40" i="2" s="1"/>
  <c r="N137" i="2"/>
  <c r="G178" i="3"/>
  <c r="L112" i="2"/>
  <c r="L55" i="2" s="1"/>
  <c r="M142" i="3"/>
  <c r="K68" i="2"/>
  <c r="K69" i="2" s="1"/>
  <c r="L78" i="2"/>
  <c r="G182" i="2"/>
  <c r="L41" i="2"/>
  <c r="L42" i="2" s="1"/>
  <c r="K93" i="2"/>
  <c r="J111" i="1"/>
  <c r="J119" i="1" s="1"/>
  <c r="J121" i="1" s="1"/>
  <c r="L98" i="3"/>
  <c r="L99" i="3" s="1"/>
  <c r="I167" i="4"/>
  <c r="N74" i="4"/>
  <c r="N75" i="4" s="1"/>
  <c r="M108" i="3"/>
  <c r="H170" i="3" s="1"/>
  <c r="M71" i="3"/>
  <c r="M72" i="3" s="1"/>
  <c r="L123" i="3"/>
  <c r="L125" i="3" s="1"/>
  <c r="K109" i="1"/>
  <c r="K117" i="1" s="1"/>
  <c r="K94" i="2"/>
  <c r="J51" i="2"/>
  <c r="J54" i="2" s="1"/>
  <c r="J57" i="2" s="1"/>
  <c r="J71" i="2" s="1"/>
  <c r="J3" i="2" s="1"/>
  <c r="N139" i="3"/>
  <c r="M85" i="3"/>
  <c r="N124" i="4"/>
  <c r="M81" i="4"/>
  <c r="M84" i="4" s="1"/>
  <c r="M87" i="4" s="1"/>
  <c r="M101" i="4" s="1"/>
  <c r="M3" i="4" s="1"/>
  <c r="M109" i="2" l="1"/>
  <c r="N142" i="2"/>
  <c r="N138" i="2"/>
  <c r="N107" i="4"/>
  <c r="N110" i="4" s="1"/>
  <c r="M95" i="1"/>
  <c r="M103" i="1" s="1"/>
  <c r="N97" i="4"/>
  <c r="N98" i="4" s="1"/>
  <c r="N99" i="4" s="1"/>
  <c r="G179" i="2"/>
  <c r="G183" i="2" s="1"/>
  <c r="L44" i="2"/>
  <c r="L45" i="2" s="1"/>
  <c r="M111" i="2"/>
  <c r="M39" i="2" s="1"/>
  <c r="N141" i="3"/>
  <c r="N69" i="3" s="1"/>
  <c r="M74" i="3"/>
  <c r="M75" i="3" s="1"/>
  <c r="H167" i="3"/>
  <c r="I171" i="4"/>
  <c r="I168" i="4"/>
  <c r="I169" i="4" s="1"/>
  <c r="I174" i="4" s="1"/>
  <c r="I176" i="4" s="1"/>
  <c r="M124" i="3"/>
  <c r="L81" i="3"/>
  <c r="L84" i="3" s="1"/>
  <c r="L87" i="3" s="1"/>
  <c r="L101" i="3" s="1"/>
  <c r="L3" i="3" s="1"/>
  <c r="K95" i="2"/>
  <c r="I178" i="4" l="1"/>
  <c r="L181" i="4" s="1"/>
  <c r="C181" i="4"/>
  <c r="C184" i="4" s="1"/>
  <c r="C186" i="4" s="1"/>
  <c r="F128" i="1" s="1"/>
  <c r="N88" i="2"/>
  <c r="N91" i="2" s="1"/>
  <c r="N143" i="2"/>
  <c r="N63" i="2" s="1"/>
  <c r="N64" i="2" s="1"/>
  <c r="N142" i="3"/>
  <c r="N85" i="3" s="1"/>
  <c r="M112" i="2"/>
  <c r="N109" i="2" s="1"/>
  <c r="H168" i="3"/>
  <c r="H169" i="3" s="1"/>
  <c r="H174" i="3" s="1"/>
  <c r="H176" i="3" s="1"/>
  <c r="H171" i="3"/>
  <c r="N164" i="3" s="1"/>
  <c r="J174" i="3" s="1"/>
  <c r="J176" i="3" s="1"/>
  <c r="J178" i="3" s="1"/>
  <c r="C176" i="3" s="1"/>
  <c r="L94" i="2"/>
  <c r="K51" i="2"/>
  <c r="K54" i="2" s="1"/>
  <c r="K57" i="2" s="1"/>
  <c r="K71" i="2" s="1"/>
  <c r="K3" i="2" s="1"/>
  <c r="M107" i="3"/>
  <c r="M110" i="3" s="1"/>
  <c r="L94" i="1"/>
  <c r="L102" i="1" s="1"/>
  <c r="M97" i="3"/>
  <c r="L77" i="2"/>
  <c r="L80" i="2" s="1"/>
  <c r="K96" i="1"/>
  <c r="K104" i="1" s="1"/>
  <c r="K106" i="1" s="1"/>
  <c r="L67" i="2"/>
  <c r="N108" i="3"/>
  <c r="I170" i="3" s="1"/>
  <c r="N71" i="3"/>
  <c r="N72" i="3" s="1"/>
  <c r="H182" i="2"/>
  <c r="M78" i="2"/>
  <c r="M41" i="2"/>
  <c r="M42" i="2" s="1"/>
  <c r="G180" i="2"/>
  <c r="G181" i="2" s="1"/>
  <c r="G186" i="2" s="1"/>
  <c r="G188" i="2" s="1"/>
  <c r="N123" i="4"/>
  <c r="N125" i="4" s="1"/>
  <c r="N81" i="4" s="1"/>
  <c r="N84" i="4" s="1"/>
  <c r="N87" i="4" s="1"/>
  <c r="N101" i="4" s="1"/>
  <c r="N3" i="4" s="1"/>
  <c r="M110" i="1"/>
  <c r="M118" i="1" s="1"/>
  <c r="M55" i="2" l="1"/>
  <c r="H178" i="3"/>
  <c r="M123" i="3"/>
  <c r="M125" i="3" s="1"/>
  <c r="L109" i="1"/>
  <c r="L117" i="1" s="1"/>
  <c r="N111" i="2"/>
  <c r="N39" i="2" s="1"/>
  <c r="L68" i="2"/>
  <c r="L69" i="2" s="1"/>
  <c r="I167" i="3"/>
  <c r="N74" i="3"/>
  <c r="N75" i="3" s="1"/>
  <c r="L93" i="2"/>
  <c r="L95" i="2" s="1"/>
  <c r="K111" i="1"/>
  <c r="K119" i="1" s="1"/>
  <c r="K121" i="1" s="1"/>
  <c r="H179" i="2"/>
  <c r="M44" i="2"/>
  <c r="M45" i="2" s="1"/>
  <c r="M98" i="3"/>
  <c r="M99" i="3" s="1"/>
  <c r="N112" i="2" l="1"/>
  <c r="N55" i="2" s="1"/>
  <c r="N107" i="3"/>
  <c r="N110" i="3" s="1"/>
  <c r="M94" i="1"/>
  <c r="M102" i="1" s="1"/>
  <c r="N97" i="3"/>
  <c r="N98" i="3" s="1"/>
  <c r="N99" i="3" s="1"/>
  <c r="M77" i="2"/>
  <c r="M80" i="2" s="1"/>
  <c r="L96" i="1"/>
  <c r="L104" i="1" s="1"/>
  <c r="L106" i="1" s="1"/>
  <c r="M94" i="2"/>
  <c r="L51" i="2"/>
  <c r="L54" i="2" s="1"/>
  <c r="L57" i="2" s="1"/>
  <c r="L71" i="2" s="1"/>
  <c r="L3" i="2" s="1"/>
  <c r="H180" i="2"/>
  <c r="H181" i="2" s="1"/>
  <c r="H186" i="2" s="1"/>
  <c r="H188" i="2" s="1"/>
  <c r="M67" i="2"/>
  <c r="N124" i="3"/>
  <c r="M81" i="3"/>
  <c r="M84" i="3" s="1"/>
  <c r="M87" i="3" s="1"/>
  <c r="M101" i="3" s="1"/>
  <c r="M3" i="3" s="1"/>
  <c r="I168" i="3"/>
  <c r="I169" i="3" s="1"/>
  <c r="I174" i="3" s="1"/>
  <c r="I176" i="3" s="1"/>
  <c r="I171" i="3"/>
  <c r="N78" i="2"/>
  <c r="I182" i="2"/>
  <c r="N41" i="2"/>
  <c r="N42" i="2" s="1"/>
  <c r="H183" i="2"/>
  <c r="N176" i="2" s="1"/>
  <c r="J186" i="2" s="1"/>
  <c r="J188" i="2" s="1"/>
  <c r="C188" i="2" l="1"/>
  <c r="I178" i="3"/>
  <c r="C181" i="3"/>
  <c r="C184" i="3" s="1"/>
  <c r="M93" i="2"/>
  <c r="M95" i="2" s="1"/>
  <c r="L111" i="1"/>
  <c r="L119" i="1" s="1"/>
  <c r="L121" i="1" s="1"/>
  <c r="I179" i="2"/>
  <c r="I183" i="2" s="1"/>
  <c r="N44" i="2"/>
  <c r="N45" i="2" s="1"/>
  <c r="M68" i="2"/>
  <c r="M69" i="2" s="1"/>
  <c r="N123" i="3"/>
  <c r="N125" i="3" s="1"/>
  <c r="N81" i="3" s="1"/>
  <c r="N84" i="3" s="1"/>
  <c r="N87" i="3" s="1"/>
  <c r="N101" i="3" s="1"/>
  <c r="N3" i="3" s="1"/>
  <c r="M109" i="1"/>
  <c r="M117" i="1" s="1"/>
  <c r="C186" i="3" l="1"/>
  <c r="F130" i="1" s="1"/>
  <c r="K128" i="1"/>
  <c r="N77" i="2"/>
  <c r="N80" i="2" s="1"/>
  <c r="M96" i="1"/>
  <c r="M104" i="1" s="1"/>
  <c r="M106" i="1" s="1"/>
  <c r="N67" i="2"/>
  <c r="N68" i="2" s="1"/>
  <c r="N69" i="2" s="1"/>
  <c r="I180" i="2"/>
  <c r="I181" i="2" s="1"/>
  <c r="I186" i="2" s="1"/>
  <c r="I188" i="2" s="1"/>
  <c r="N94" i="2"/>
  <c r="M51" i="2"/>
  <c r="M54" i="2" s="1"/>
  <c r="M57" i="2" s="1"/>
  <c r="M71" i="2" s="1"/>
  <c r="M3" i="2" s="1"/>
  <c r="C193" i="2" l="1"/>
  <c r="C196" i="2" s="1"/>
  <c r="C198" i="2" s="1"/>
  <c r="F131" i="1" s="1"/>
  <c r="F132" i="1" s="1"/>
  <c r="F133" i="1" s="1"/>
  <c r="K131" i="1"/>
  <c r="N93" i="2"/>
  <c r="N95" i="2" s="1"/>
  <c r="N51" i="2" s="1"/>
  <c r="N54" i="2" s="1"/>
  <c r="N57" i="2" s="1"/>
  <c r="N71" i="2" s="1"/>
  <c r="N3" i="2" s="1"/>
  <c r="M111" i="1"/>
  <c r="M119" i="1" s="1"/>
  <c r="M121" i="1" s="1"/>
  <c r="L128" i="1" l="1"/>
  <c r="L131" i="1" s="1"/>
  <c r="L134" i="1" s="1"/>
  <c r="K134" i="1"/>
  <c r="M131" i="1" l="1"/>
  <c r="M134" i="1"/>
  <c r="M1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ID#AAABgyKixyA
Author    (2025-03-25 07:45:04)
Choose Yes or No</t>
        </r>
      </text>
    </comment>
    <comment ref="D20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ID#AAABgyKixx8
Author    (2025-03-25 07:45:04)
Choose Yes or No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Byq7HFEbXnVW9DlOluQ9WgEEwA=="/>
    </ext>
  </extLst>
</comments>
</file>

<file path=xl/sharedStrings.xml><?xml version="1.0" encoding="utf-8"?>
<sst xmlns="http://schemas.openxmlformats.org/spreadsheetml/2006/main" count="694" uniqueCount="277">
  <si>
    <t>Assumptions</t>
  </si>
  <si>
    <t>Transaction Inputs</t>
  </si>
  <si>
    <t>Scenarios</t>
  </si>
  <si>
    <t>Acquirer Name</t>
  </si>
  <si>
    <t>Online Company Inc</t>
  </si>
  <si>
    <t>Scenario #</t>
  </si>
  <si>
    <t>LIVE --&gt;</t>
  </si>
  <si>
    <t>Target Name</t>
  </si>
  <si>
    <t>Brick 'n' Mortar Co</t>
  </si>
  <si>
    <t>Acquirer Share Price</t>
  </si>
  <si>
    <t>Synergies</t>
  </si>
  <si>
    <t>Target Share Price</t>
  </si>
  <si>
    <t>Revenue enhancement</t>
  </si>
  <si>
    <t>Transaction Close Date</t>
  </si>
  <si>
    <t>COGS savings</t>
  </si>
  <si>
    <t>Financial Reporting Units</t>
  </si>
  <si>
    <t>$'000s</t>
  </si>
  <si>
    <t>Marketing savings</t>
  </si>
  <si>
    <t>Currency</t>
  </si>
  <si>
    <t>USD</t>
  </si>
  <si>
    <t>General &amp; Admin savings</t>
  </si>
  <si>
    <t>Restructuring Charges</t>
  </si>
  <si>
    <t>Synergies in Year 1 (full yr.)</t>
  </si>
  <si>
    <t>Equity Issuance Fees</t>
  </si>
  <si>
    <t>Synergies in Year 2</t>
  </si>
  <si>
    <t>Debt Issuance Fees</t>
  </si>
  <si>
    <t>Synergies in Years 3+</t>
  </si>
  <si>
    <t>Other Closing Costs</t>
  </si>
  <si>
    <t>Financing</t>
  </si>
  <si>
    <t>Replace Target Debt</t>
  </si>
  <si>
    <t>Yes</t>
  </si>
  <si>
    <t>Debt Tranche</t>
  </si>
  <si>
    <t>Replace Acquirer Debt</t>
  </si>
  <si>
    <t>No</t>
  </si>
  <si>
    <t>Senior Debt A</t>
  </si>
  <si>
    <t>Senior Debt B</t>
  </si>
  <si>
    <t>Acquirer FD Shares Outstanding</t>
  </si>
  <si>
    <t>Subordinated Debt</t>
  </si>
  <si>
    <t>Target FD Share Outstanding</t>
  </si>
  <si>
    <t>Interest Rate</t>
  </si>
  <si>
    <t>Shares Issued</t>
  </si>
  <si>
    <t>Pro Forma Shares Outstanding</t>
  </si>
  <si>
    <t>Share Issuance Discount</t>
  </si>
  <si>
    <t>Share Issuance Price</t>
  </si>
  <si>
    <t>Transaction</t>
  </si>
  <si>
    <t>Takeover Premium</t>
  </si>
  <si>
    <t>Purchase Price</t>
  </si>
  <si>
    <t>Cash Consideration</t>
  </si>
  <si>
    <t>Offer Price</t>
  </si>
  <si>
    <t>Sources &amp; Uses of Cash</t>
  </si>
  <si>
    <t>Sources of Cash</t>
  </si>
  <si>
    <t>Share Exchange Ratio</t>
  </si>
  <si>
    <t>Cash</t>
  </si>
  <si>
    <t>Stock Issued</t>
  </si>
  <si>
    <t>Stock Consideration</t>
  </si>
  <si>
    <t>Target Shares Outstanding</t>
  </si>
  <si>
    <t>Debt Issued</t>
  </si>
  <si>
    <t>Target Debt - Replace (ST+LT)</t>
  </si>
  <si>
    <t>Acquirer Debt - Replace (ST+LT)</t>
  </si>
  <si>
    <t>Debt Financing Fees</t>
  </si>
  <si>
    <t>Target Debt (Total Debt ST + LT)</t>
  </si>
  <si>
    <t>Equity Financing Fees</t>
  </si>
  <si>
    <t>Target Cash</t>
  </si>
  <si>
    <t>Enterprise Value</t>
  </si>
  <si>
    <t>Total Sources</t>
  </si>
  <si>
    <t>Total Uses</t>
  </si>
  <si>
    <t>^ Total cash needed for transaction</t>
  </si>
  <si>
    <t>Goodwill and Purchase Price Allocation</t>
  </si>
  <si>
    <t>Fair Market Value</t>
  </si>
  <si>
    <t>Book Value</t>
  </si>
  <si>
    <t>Fair Value</t>
  </si>
  <si>
    <t>Adjustment</t>
  </si>
  <si>
    <t>Purchase Price Allocation</t>
  </si>
  <si>
    <t>Inventory &amp; Other Current Assets</t>
  </si>
  <si>
    <t>Total Purchase Price</t>
  </si>
  <si>
    <t>Target PP&amp;E</t>
  </si>
  <si>
    <t>Net Book Value of Assets</t>
  </si>
  <si>
    <t>Identifiable Intangibles</t>
  </si>
  <si>
    <t>Excess Purchase Price</t>
  </si>
  <si>
    <t>Net Identifiable Assets</t>
  </si>
  <si>
    <t>Write-off Existing Goodwill</t>
  </si>
  <si>
    <t>Fair Value Adjustments</t>
  </si>
  <si>
    <t>Excess Purchase Price After Adjustments</t>
  </si>
  <si>
    <t xml:space="preserve">Goodwill </t>
  </si>
  <si>
    <t>&gt;&gt; Good will on proforma balance sheet</t>
  </si>
  <si>
    <t>Closing Balance Sheet</t>
  </si>
  <si>
    <t>Pro Forma Consolidated Balance Sheet</t>
  </si>
  <si>
    <t>Step #</t>
  </si>
  <si>
    <t>Acquirer</t>
  </si>
  <si>
    <t>Target</t>
  </si>
  <si>
    <t>Target PF</t>
  </si>
  <si>
    <t>Purchase</t>
  </si>
  <si>
    <t>Total Adj.</t>
  </si>
  <si>
    <t>Consol</t>
  </si>
  <si>
    <t>Debt +  Equity</t>
  </si>
  <si>
    <t>Fees</t>
  </si>
  <si>
    <t>Refi Debt</t>
  </si>
  <si>
    <t>Assets</t>
  </si>
  <si>
    <t>Accounts Receivable</t>
  </si>
  <si>
    <t>Inventory</t>
  </si>
  <si>
    <t>Current Assets</t>
  </si>
  <si>
    <t>Property &amp; Equipment</t>
  </si>
  <si>
    <t>Goodwill</t>
  </si>
  <si>
    <t>Total Assets</t>
  </si>
  <si>
    <t>Liabilities</t>
  </si>
  <si>
    <t>Short Term Debt</t>
  </si>
  <si>
    <t>Accounts Payable</t>
  </si>
  <si>
    <t>Current Liabilities</t>
  </si>
  <si>
    <t>Long Term 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</si>
  <si>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</si>
  <si>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</si>
  <si>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</si>
  <si>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</si>
  <si>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</si>
  <si>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</si>
  <si>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Accretion/Dilution Analysis</t>
  </si>
  <si>
    <t>Earnings Per Share</t>
  </si>
  <si>
    <t>Acquirer Net Earnings</t>
  </si>
  <si>
    <t>Target Net Earnings</t>
  </si>
  <si>
    <t>Pro Forma Net Earnings</t>
  </si>
  <si>
    <t>Acquirer Shares O/S</t>
  </si>
  <si>
    <t>Target Share O/S</t>
  </si>
  <si>
    <t>Pro Forma Shares O/S</t>
  </si>
  <si>
    <t>Acquirer EPS</t>
  </si>
  <si>
    <t>Target EPS</t>
  </si>
  <si>
    <t>Pro Forma EPS</t>
  </si>
  <si>
    <t>Accretion/Dilution</t>
  </si>
  <si>
    <t>Cash Flow Per Share</t>
  </si>
  <si>
    <t>Acquirer Cash Flow</t>
  </si>
  <si>
    <t>Target Cash Flow</t>
  </si>
  <si>
    <t>Pro Forma Cash Flow</t>
  </si>
  <si>
    <t>Acquirer CFPS</t>
  </si>
  <si>
    <t>Target CFPS</t>
  </si>
  <si>
    <t>Pro Forma CFPS</t>
  </si>
  <si>
    <t>Summary &amp; Sensitivity</t>
  </si>
  <si>
    <t>Share Price Impact</t>
  </si>
  <si>
    <t>Capital Structure</t>
  </si>
  <si>
    <t>Market Price</t>
  </si>
  <si>
    <t>DCF Model</t>
  </si>
  <si>
    <t>Current</t>
  </si>
  <si>
    <t>Pro Forma</t>
  </si>
  <si>
    <t>Change</t>
  </si>
  <si>
    <t>Target Price per Share</t>
  </si>
  <si>
    <t>Equity</t>
  </si>
  <si>
    <t>Acquirer Price per Share</t>
  </si>
  <si>
    <t>Debt</t>
  </si>
  <si>
    <t>Pro Forma Price per Share</t>
  </si>
  <si>
    <t>Change in Acquirer NPV per Share</t>
  </si>
  <si>
    <t>Shares Outstanding</t>
  </si>
  <si>
    <t>Equity Value/Share</t>
  </si>
  <si>
    <t>Implied Share Price Change</t>
  </si>
  <si>
    <t>2019 EPS Accretion/(Dilution)</t>
  </si>
  <si>
    <t>Rev Enhance</t>
  </si>
  <si>
    <t>Target Sh Price</t>
  </si>
  <si>
    <t xml:space="preserve"> Forecast Period</t>
  </si>
  <si>
    <t>Pro Forma Model</t>
  </si>
  <si>
    <t>CLOSE</t>
  </si>
  <si>
    <t>Balance Sheet Check</t>
  </si>
  <si>
    <t>End of Period</t>
  </si>
  <si>
    <t>Days in Period</t>
  </si>
  <si>
    <t>Fraction of Year</t>
  </si>
  <si>
    <t>Debt Amortization Schedule</t>
  </si>
  <si>
    <t>Revenue Growth (% Change)</t>
  </si>
  <si>
    <t>Cost of Goods Sold (% of Revenue)</t>
  </si>
  <si>
    <t>Marketing, Advertising &amp; Promotion (% of Revenue)</t>
  </si>
  <si>
    <t>Depreciation &amp; Amortization (% of PP&amp;E)</t>
  </si>
  <si>
    <t>Tax Rate (% of Earnings Before Tax)</t>
  </si>
  <si>
    <t>Accounts Receivable (Days)</t>
  </si>
  <si>
    <t>Inventory (Days)</t>
  </si>
  <si>
    <t>Accounts Payable (Days)</t>
  </si>
  <si>
    <t>Equity Issued (Repaid) ($000's)</t>
  </si>
  <si>
    <t>Dividends Paid</t>
  </si>
  <si>
    <t>Income Statement</t>
  </si>
  <si>
    <t>Revenue</t>
  </si>
  <si>
    <t>Cost of Goods Sold (COGS)</t>
  </si>
  <si>
    <t>Gross Profit</t>
  </si>
  <si>
    <t>Expenses</t>
  </si>
  <si>
    <t>Marketing, Advertising &amp; Promotion</t>
  </si>
  <si>
    <t>General &amp; Administrative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</si>
  <si>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</si>
  <si>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</si>
  <si>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</si>
  <si>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</si>
  <si>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</si>
  <si>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</si>
  <si>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</si>
  <si>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</si>
  <si>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</si>
  <si>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</si>
  <si>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</si>
  <si>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</si>
  <si>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</si>
  <si>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</si>
  <si>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Investments in Businesses</t>
  </si>
  <si>
    <t>Cash from Investing</t>
  </si>
  <si>
    <t>Financing Cash Flow</t>
  </si>
  <si>
    <t>Issuance (repayment) of debt</t>
  </si>
  <si>
    <t>Issuance (repayment) of equity</t>
  </si>
  <si>
    <t>Payment of Dividends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</si>
  <si>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</si>
  <si>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</si>
  <si>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</si>
  <si>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</si>
  <si>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</si>
  <si>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</si>
  <si>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</si>
  <si>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</si>
  <si>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</si>
  <si>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</si>
  <si>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</si>
  <si>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</si>
  <si>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</si>
  <si>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Schedule</t>
  </si>
  <si>
    <t>Opening Balance</t>
  </si>
  <si>
    <t>Addition (Repayment)</t>
  </si>
  <si>
    <t>Closing Balance</t>
  </si>
  <si>
    <t>Target Debt</t>
  </si>
  <si>
    <t>Acquirer Debt</t>
  </si>
  <si>
    <t>Total Debt</t>
  </si>
  <si>
    <t>Interest Schedule</t>
  </si>
  <si>
    <t>Interest Rates</t>
  </si>
  <si>
    <t>Interest Expense (opening balance)</t>
  </si>
  <si>
    <t xml:space="preserve">Total </t>
  </si>
  <si>
    <t>Tax Rate</t>
  </si>
  <si>
    <t>Discount Rate</t>
  </si>
  <si>
    <t>Perpetual Growth Rate</t>
  </si>
  <si>
    <t>EV/EBITDA Multiple</t>
  </si>
  <si>
    <t>Current Price</t>
  </si>
  <si>
    <t>Discounted Cash Flow</t>
  </si>
  <si>
    <t>Entry</t>
  </si>
  <si>
    <t>Exit</t>
  </si>
  <si>
    <t>Terminal Value</t>
  </si>
  <si>
    <t>Date</t>
  </si>
  <si>
    <t>EV/EBITDA</t>
  </si>
  <si>
    <t>EBIT</t>
  </si>
  <si>
    <t>Less: Cash Taxes</t>
  </si>
  <si>
    <t>NOPAT</t>
  </si>
  <si>
    <t>Plus: D&amp;A</t>
  </si>
  <si>
    <t>EBITDA</t>
  </si>
  <si>
    <t>Less: Capex</t>
  </si>
  <si>
    <t>Less: Changes in NWC</t>
  </si>
  <si>
    <t>Unlevered FCF</t>
  </si>
  <si>
    <t>Transaction FCFF</t>
  </si>
  <si>
    <t>IRR FCFF</t>
  </si>
  <si>
    <t>Intrinsic Value</t>
  </si>
  <si>
    <t>Market Value</t>
  </si>
  <si>
    <t>Rate of Return</t>
  </si>
  <si>
    <t>Market Cap</t>
  </si>
  <si>
    <t>IRR</t>
  </si>
  <si>
    <t>Plus: Cash</t>
  </si>
  <si>
    <t>Plus: Debt</t>
  </si>
  <si>
    <t>Less: Debt</t>
  </si>
  <si>
    <t>Less: Cash</t>
  </si>
  <si>
    <t>Equity Value</t>
  </si>
  <si>
    <t>Merger Integration</t>
  </si>
  <si>
    <t>Total</t>
  </si>
  <si>
    <t>Cost of Goods Sold</t>
  </si>
  <si>
    <t>Historical Results</t>
  </si>
  <si>
    <t>Stub</t>
  </si>
  <si>
    <t>LIVE SCENARIO</t>
  </si>
  <si>
    <t>SCENARIO 1</t>
  </si>
  <si>
    <t>Salaries and Benefits (% of Revenue)</t>
  </si>
  <si>
    <t>Rent and Overhead ($000's)</t>
  </si>
  <si>
    <t>Interest (% of Debt)</t>
  </si>
  <si>
    <t>Capital Expenditures ($000's)</t>
  </si>
  <si>
    <t>Debt Issuance (Repayment) ($000's)</t>
  </si>
  <si>
    <t>SCENARIO 2</t>
  </si>
  <si>
    <t>General &amp; Administrative ($000's)</t>
  </si>
  <si>
    <t xml:space="preserve"> </t>
  </si>
  <si>
    <t>Debt &amp; Interest Schedule</t>
  </si>
  <si>
    <t>Debt Opening</t>
  </si>
  <si>
    <t>Issuance (repayment)</t>
  </si>
  <si>
    <t>Debt Closing</t>
  </si>
  <si>
    <t>Interest Expense</t>
  </si>
  <si>
    <t>Year Fraction</t>
  </si>
  <si>
    <t>Takeover</t>
  </si>
  <si>
    <t>IRR (Current Share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</si>
</sst>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3" formatCode="_(* #,##0.00_);_(* \(#,##0.00\);_(* &quot;-&quot;??_);_(@_)"/>
    <numFmt numFmtId="164" formatCode="_-* #,##0_-;\(#,##0\)_-;_-* &quot;-&quot;_-;_-@"/>
    <numFmt numFmtId="165" formatCode="d/m/yyyy"/>
    <numFmt numFmtId="166" formatCode="0.0%"/>
    <numFmt numFmtId="167" formatCode="_-* #,##0.000_-;\(#,##0.000\)_-;_-* &quot;-&quot;_-;_-@"/>
    <numFmt numFmtId="168" formatCode="0.000"/>
    <numFmt numFmtId="169" formatCode="_-* #,##0.00_-;\(#,##0.00\)_-;_-* &quot;-&quot;_-;_-@"/>
    <numFmt numFmtId="170" formatCode="_(* #,##0_);_(* \(#,##0\);_(* &quot;-&quot;??_);_(@_)"/>
    <numFmt numFmtId="171" formatCode="_-* #,##0_-;\-* #,##0_-;_-* &quot;-&quot;??_-;_-@"/>
    <numFmt numFmtId="172" formatCode="0.0000_ ;\-0.0000\ "/>
    <numFmt numFmtId="173" formatCode="0.0\x"/>
  </numFmts>
  <fonts count="3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FF"/>
      <name val="Calibri"/>
      <family val="2"/>
    </font>
    <font>
      <sz val="12"/>
      <color rgb="FF00B050"/>
      <name val="Calibri"/>
      <family val="2"/>
    </font>
    <font>
      <i/>
      <sz val="12"/>
      <color rgb="FF0000FF"/>
      <name val="Calibri"/>
      <family val="2"/>
    </font>
    <font>
      <sz val="10"/>
      <color rgb="FF00B050"/>
      <name val="Calibri"/>
      <family val="2"/>
    </font>
    <font>
      <sz val="10"/>
      <color theme="1"/>
      <name val="Calibri"/>
      <family val="2"/>
    </font>
    <font>
      <b/>
      <u/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2"/>
      <color theme="1"/>
      <name val="Calibri"/>
      <family val="2"/>
    </font>
    <font>
      <sz val="10"/>
      <name val="Arial"/>
      <family val="2"/>
    </font>
    <font>
      <b/>
      <sz val="12"/>
      <color rgb="FF00B050"/>
      <name val="Calibri"/>
      <family val="2"/>
    </font>
    <font>
      <sz val="12"/>
      <color theme="0"/>
      <name val="Calibri"/>
      <family val="2"/>
    </font>
    <font>
      <sz val="8"/>
      <color theme="0"/>
      <name val="Calibri"/>
      <family val="2"/>
    </font>
    <font>
      <b/>
      <sz val="12"/>
      <color theme="0"/>
      <name val="Calibri"/>
      <family val="2"/>
    </font>
    <font>
      <i/>
      <sz val="12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00FF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i/>
      <sz val="12"/>
      <color rgb="FF00B050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A621C"/>
        <bgColor rgb="FFFA621C"/>
      </patternFill>
    </fill>
    <fill>
      <patternFill patternType="solid">
        <fgColor rgb="FF7F7F7F"/>
        <bgColor rgb="FF7F7F7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43" fontId="30" fillId="0" borderId="0" applyFont="0" applyFill="0" applyBorder="0" applyAlignment="0" applyProtection="0"/>
  </cellStyleXfs>
  <cellXfs count="177">
    <xf numFmtId="0" fontId="0" fillId="0" borderId="0" xfId="0" applyFont="1" applyAlignment="1"/>
    <xf numFmtId="164" fontId="3" fillId="2" borderId="1" xfId="0" applyNumberFormat="1" applyFont="1" applyFill="1" applyBorder="1"/>
    <xf numFmtId="164" fontId="4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/>
    <xf numFmtId="0" fontId="4" fillId="2" borderId="1" xfId="0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3" fillId="3" borderId="1" xfId="0" applyNumberFormat="1" applyFont="1" applyFill="1" applyBorder="1"/>
    <xf numFmtId="164" fontId="5" fillId="3" borderId="1" xfId="0" applyNumberFormat="1" applyFont="1" applyFill="1" applyBorder="1"/>
    <xf numFmtId="164" fontId="5" fillId="3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164" fontId="5" fillId="4" borderId="1" xfId="0" applyNumberFormat="1" applyFont="1" applyFill="1" applyBorder="1"/>
    <xf numFmtId="164" fontId="5" fillId="4" borderId="1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right"/>
    </xf>
    <xf numFmtId="164" fontId="7" fillId="5" borderId="2" xfId="0" applyNumberFormat="1" applyFont="1" applyFill="1" applyBorder="1"/>
    <xf numFmtId="164" fontId="7" fillId="5" borderId="3" xfId="0" applyNumberFormat="1" applyFont="1" applyFill="1" applyBorder="1" applyAlignment="1">
      <alignment horizontal="right"/>
    </xf>
    <xf numFmtId="164" fontId="7" fillId="5" borderId="4" xfId="0" applyNumberFormat="1" applyFont="1" applyFill="1" applyBorder="1"/>
    <xf numFmtId="164" fontId="8" fillId="0" borderId="0" xfId="0" applyNumberFormat="1" applyFont="1"/>
    <xf numFmtId="164" fontId="5" fillId="0" borderId="5" xfId="0" applyNumberFormat="1" applyFont="1" applyBorder="1"/>
    <xf numFmtId="164" fontId="5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7" fontId="8" fillId="0" borderId="0" xfId="0" applyNumberFormat="1" applyFont="1"/>
    <xf numFmtId="164" fontId="7" fillId="0" borderId="0" xfId="0" applyNumberFormat="1" applyFont="1"/>
    <xf numFmtId="164" fontId="5" fillId="0" borderId="6" xfId="0" applyNumberFormat="1" applyFont="1" applyBorder="1"/>
    <xf numFmtId="164" fontId="5" fillId="6" borderId="7" xfId="0" applyNumberFormat="1" applyFont="1" applyFill="1" applyBorder="1" applyAlignment="1">
      <alignment horizontal="right"/>
    </xf>
    <xf numFmtId="164" fontId="8" fillId="0" borderId="6" xfId="0" applyNumberFormat="1" applyFont="1" applyBorder="1"/>
    <xf numFmtId="165" fontId="8" fillId="0" borderId="0" xfId="0" applyNumberFormat="1" applyFont="1"/>
    <xf numFmtId="164" fontId="5" fillId="6" borderId="1" xfId="0" applyNumberFormat="1" applyFont="1" applyFill="1" applyBorder="1" applyAlignment="1">
      <alignment horizontal="right"/>
    </xf>
    <xf numFmtId="164" fontId="5" fillId="0" borderId="0" xfId="0" quotePrefix="1" applyNumberFormat="1" applyFont="1"/>
    <xf numFmtId="9" fontId="5" fillId="6" borderId="1" xfId="0" applyNumberFormat="1" applyFont="1" applyFill="1" applyBorder="1" applyAlignment="1">
      <alignment horizontal="right"/>
    </xf>
    <xf numFmtId="9" fontId="8" fillId="0" borderId="0" xfId="0" applyNumberFormat="1" applyFont="1"/>
    <xf numFmtId="166" fontId="8" fillId="0" borderId="0" xfId="0" applyNumberFormat="1" applyFont="1"/>
    <xf numFmtId="164" fontId="7" fillId="0" borderId="6" xfId="0" applyNumberFormat="1" applyFont="1" applyBorder="1"/>
    <xf numFmtId="164" fontId="5" fillId="6" borderId="7" xfId="0" applyNumberFormat="1" applyFont="1" applyFill="1" applyBorder="1"/>
    <xf numFmtId="10" fontId="5" fillId="6" borderId="1" xfId="0" applyNumberFormat="1" applyFont="1" applyFill="1" applyBorder="1" applyAlignment="1">
      <alignment horizontal="right"/>
    </xf>
    <xf numFmtId="10" fontId="8" fillId="0" borderId="0" xfId="0" applyNumberFormat="1" applyFont="1"/>
    <xf numFmtId="164" fontId="5" fillId="6" borderId="1" xfId="0" applyNumberFormat="1" applyFont="1" applyFill="1" applyBorder="1"/>
    <xf numFmtId="7" fontId="5" fillId="0" borderId="0" xfId="0" applyNumberFormat="1" applyFont="1"/>
    <xf numFmtId="166" fontId="5" fillId="6" borderId="7" xfId="0" applyNumberFormat="1" applyFont="1" applyFill="1" applyBorder="1" applyAlignment="1">
      <alignment horizontal="right"/>
    </xf>
    <xf numFmtId="166" fontId="8" fillId="0" borderId="6" xfId="0" applyNumberFormat="1" applyFont="1" applyBorder="1"/>
    <xf numFmtId="166" fontId="5" fillId="6" borderId="1" xfId="0" applyNumberFormat="1" applyFont="1" applyFill="1" applyBorder="1" applyAlignment="1">
      <alignment horizontal="right"/>
    </xf>
    <xf numFmtId="166" fontId="5" fillId="0" borderId="0" xfId="0" applyNumberFormat="1" applyFont="1"/>
    <xf numFmtId="164" fontId="5" fillId="0" borderId="6" xfId="0" applyNumberFormat="1" applyFont="1" applyBorder="1" applyAlignment="1">
      <alignment horizontal="center"/>
    </xf>
    <xf numFmtId="7" fontId="5" fillId="0" borderId="6" xfId="0" applyNumberFormat="1" applyFont="1" applyBorder="1"/>
    <xf numFmtId="167" fontId="5" fillId="0" borderId="0" xfId="0" applyNumberFormat="1" applyFont="1"/>
    <xf numFmtId="164" fontId="9" fillId="0" borderId="0" xfId="0" applyNumberFormat="1" applyFont="1"/>
    <xf numFmtId="164" fontId="7" fillId="0" borderId="6" xfId="0" applyNumberFormat="1" applyFont="1" applyBorder="1" applyAlignment="1">
      <alignment horizontal="center"/>
    </xf>
    <xf numFmtId="164" fontId="6" fillId="0" borderId="0" xfId="0" applyNumberFormat="1" applyFont="1"/>
    <xf numFmtId="164" fontId="7" fillId="4" borderId="1" xfId="0" applyNumberFormat="1" applyFont="1" applyFill="1" applyBorder="1" applyAlignment="1">
      <alignment horizontal="center"/>
    </xf>
    <xf numFmtId="164" fontId="9" fillId="0" borderId="6" xfId="0" applyNumberFormat="1" applyFont="1" applyBorder="1"/>
    <xf numFmtId="164" fontId="8" fillId="0" borderId="6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64" fontId="10" fillId="0" borderId="0" xfId="0" applyNumberFormat="1" applyFont="1"/>
    <xf numFmtId="164" fontId="7" fillId="0" borderId="0" xfId="0" applyNumberFormat="1" applyFont="1" applyAlignment="1">
      <alignment horizontal="right"/>
    </xf>
    <xf numFmtId="165" fontId="11" fillId="0" borderId="6" xfId="0" applyNumberFormat="1" applyFont="1" applyBorder="1"/>
    <xf numFmtId="164" fontId="12" fillId="0" borderId="6" xfId="0" applyNumberFormat="1" applyFont="1" applyBorder="1" applyAlignment="1">
      <alignment horizontal="right"/>
    </xf>
    <xf numFmtId="165" fontId="12" fillId="0" borderId="6" xfId="0" applyNumberFormat="1" applyFont="1" applyBorder="1"/>
    <xf numFmtId="164" fontId="7" fillId="6" borderId="7" xfId="0" applyNumberFormat="1" applyFont="1" applyFill="1" applyBorder="1"/>
    <xf numFmtId="164" fontId="7" fillId="0" borderId="8" xfId="0" applyNumberFormat="1" applyFont="1" applyBorder="1"/>
    <xf numFmtId="164" fontId="7" fillId="6" borderId="9" xfId="0" applyNumberFormat="1" applyFont="1" applyFill="1" applyBorder="1"/>
    <xf numFmtId="164" fontId="7" fillId="6" borderId="1" xfId="0" applyNumberFormat="1" applyFont="1" applyFill="1" applyBorder="1"/>
    <xf numFmtId="164" fontId="7" fillId="0" borderId="10" xfId="0" applyNumberFormat="1" applyFont="1" applyBorder="1"/>
    <xf numFmtId="164" fontId="7" fillId="6" borderId="11" xfId="0" applyNumberFormat="1" applyFont="1" applyFill="1" applyBorder="1"/>
    <xf numFmtId="168" fontId="6" fillId="0" borderId="0" xfId="0" applyNumberFormat="1" applyFont="1"/>
    <xf numFmtId="43" fontId="5" fillId="0" borderId="0" xfId="0" applyNumberFormat="1" applyFont="1"/>
    <xf numFmtId="164" fontId="13" fillId="0" borderId="0" xfId="0" applyNumberFormat="1" applyFont="1"/>
    <xf numFmtId="0" fontId="14" fillId="0" borderId="0" xfId="0" applyFont="1"/>
    <xf numFmtId="43" fontId="5" fillId="0" borderId="6" xfId="0" applyNumberFormat="1" applyFont="1" applyBorder="1"/>
    <xf numFmtId="164" fontId="15" fillId="6" borderId="1" xfId="0" applyNumberFormat="1" applyFont="1" applyFill="1" applyBorder="1"/>
    <xf numFmtId="169" fontId="5" fillId="0" borderId="0" xfId="0" applyNumberFormat="1" applyFont="1"/>
    <xf numFmtId="164" fontId="7" fillId="0" borderId="12" xfId="0" applyNumberFormat="1" applyFont="1" applyBorder="1"/>
    <xf numFmtId="164" fontId="7" fillId="0" borderId="10" xfId="0" applyNumberFormat="1" applyFont="1" applyBorder="1" applyAlignment="1">
      <alignment horizontal="center"/>
    </xf>
    <xf numFmtId="9" fontId="7" fillId="0" borderId="10" xfId="0" applyNumberFormat="1" applyFont="1" applyBorder="1"/>
    <xf numFmtId="9" fontId="7" fillId="0" borderId="13" xfId="0" applyNumberFormat="1" applyFont="1" applyBorder="1"/>
    <xf numFmtId="9" fontId="5" fillId="0" borderId="0" xfId="0" applyNumberFormat="1" applyFont="1"/>
    <xf numFmtId="7" fontId="9" fillId="0" borderId="6" xfId="0" applyNumberFormat="1" applyFont="1" applyBorder="1"/>
    <xf numFmtId="164" fontId="17" fillId="0" borderId="6" xfId="0" applyNumberFormat="1" applyFont="1" applyBorder="1"/>
    <xf numFmtId="7" fontId="9" fillId="0" borderId="0" xfId="0" applyNumberFormat="1" applyFont="1"/>
    <xf numFmtId="7" fontId="8" fillId="0" borderId="0" xfId="0" applyNumberFormat="1" applyFont="1" applyAlignment="1">
      <alignment horizontal="right"/>
    </xf>
    <xf numFmtId="9" fontId="5" fillId="0" borderId="6" xfId="0" applyNumberFormat="1" applyFont="1" applyBorder="1"/>
    <xf numFmtId="7" fontId="7" fillId="0" borderId="6" xfId="0" applyNumberFormat="1" applyFont="1" applyBorder="1"/>
    <xf numFmtId="166" fontId="7" fillId="0" borderId="0" xfId="0" applyNumberFormat="1" applyFont="1"/>
    <xf numFmtId="7" fontId="7" fillId="0" borderId="0" xfId="0" applyNumberFormat="1" applyFont="1"/>
    <xf numFmtId="9" fontId="18" fillId="0" borderId="0" xfId="0" applyNumberFormat="1" applyFont="1"/>
    <xf numFmtId="9" fontId="8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164" fontId="8" fillId="0" borderId="17" xfId="0" applyNumberFormat="1" applyFont="1" applyBorder="1"/>
    <xf numFmtId="166" fontId="5" fillId="0" borderId="6" xfId="0" applyNumberFormat="1" applyFont="1" applyBorder="1" applyAlignment="1">
      <alignment horizontal="right"/>
    </xf>
    <xf numFmtId="169" fontId="8" fillId="0" borderId="17" xfId="0" applyNumberFormat="1" applyFont="1" applyBorder="1"/>
    <xf numFmtId="166" fontId="5" fillId="0" borderId="18" xfId="0" applyNumberFormat="1" applyFont="1" applyBorder="1"/>
    <xf numFmtId="166" fontId="5" fillId="0" borderId="6" xfId="0" applyNumberFormat="1" applyFont="1" applyBorder="1"/>
    <xf numFmtId="164" fontId="5" fillId="0" borderId="17" xfId="0" applyNumberFormat="1" applyFont="1" applyBorder="1"/>
    <xf numFmtId="166" fontId="5" fillId="0" borderId="0" xfId="0" applyNumberFormat="1" applyFont="1" applyAlignment="1">
      <alignment horizontal="right"/>
    </xf>
    <xf numFmtId="169" fontId="5" fillId="0" borderId="17" xfId="0" applyNumberFormat="1" applyFont="1" applyBorder="1"/>
    <xf numFmtId="164" fontId="19" fillId="2" borderId="1" xfId="0" applyNumberFormat="1" applyFont="1" applyFill="1" applyBorder="1"/>
    <xf numFmtId="164" fontId="5" fillId="2" borderId="1" xfId="0" applyNumberFormat="1" applyFont="1" applyFill="1" applyBorder="1"/>
    <xf numFmtId="164" fontId="5" fillId="2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right"/>
    </xf>
    <xf numFmtId="164" fontId="21" fillId="0" borderId="0" xfId="0" applyNumberFormat="1" applyFont="1"/>
    <xf numFmtId="165" fontId="10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167" fontId="21" fillId="0" borderId="0" xfId="0" applyNumberFormat="1" applyFont="1" applyAlignment="1">
      <alignment horizontal="right"/>
    </xf>
    <xf numFmtId="9" fontId="6" fillId="0" borderId="0" xfId="0" applyNumberFormat="1" applyFont="1"/>
    <xf numFmtId="9" fontId="8" fillId="0" borderId="0" xfId="0" applyNumberFormat="1" applyFont="1" applyAlignment="1">
      <alignment horizontal="right"/>
    </xf>
    <xf numFmtId="164" fontId="22" fillId="0" borderId="0" xfId="0" applyNumberFormat="1" applyFont="1" applyAlignment="1"/>
    <xf numFmtId="164" fontId="23" fillId="0" borderId="0" xfId="0" applyNumberFormat="1" applyFont="1"/>
    <xf numFmtId="164" fontId="23" fillId="0" borderId="0" xfId="0" applyNumberFormat="1" applyFont="1" applyAlignment="1">
      <alignment horizontal="center"/>
    </xf>
    <xf numFmtId="166" fontId="22" fillId="0" borderId="0" xfId="0" applyNumberFormat="1" applyFont="1" applyAlignment="1"/>
    <xf numFmtId="16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9" fontId="23" fillId="0" borderId="0" xfId="0" applyNumberFormat="1" applyFont="1"/>
    <xf numFmtId="170" fontId="5" fillId="0" borderId="0" xfId="0" applyNumberFormat="1" applyFont="1"/>
    <xf numFmtId="164" fontId="7" fillId="0" borderId="8" xfId="0" applyNumberFormat="1" applyFont="1" applyBorder="1" applyAlignment="1">
      <alignment horizontal="center"/>
    </xf>
    <xf numFmtId="0" fontId="24" fillId="0" borderId="0" xfId="0" applyFont="1"/>
    <xf numFmtId="171" fontId="5" fillId="0" borderId="0" xfId="0" applyNumberFormat="1" applyFont="1"/>
    <xf numFmtId="164" fontId="25" fillId="0" borderId="6" xfId="0" applyNumberFormat="1" applyFont="1" applyBorder="1"/>
    <xf numFmtId="0" fontId="24" fillId="0" borderId="6" xfId="0" applyFont="1" applyBorder="1"/>
    <xf numFmtId="164" fontId="26" fillId="0" borderId="0" xfId="0" applyNumberFormat="1" applyFont="1"/>
    <xf numFmtId="0" fontId="27" fillId="0" borderId="6" xfId="0" applyFont="1" applyBorder="1"/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8" fillId="4" borderId="1" xfId="0" applyNumberFormat="1" applyFont="1" applyFill="1" applyBorder="1"/>
    <xf numFmtId="164" fontId="23" fillId="0" borderId="6" xfId="0" applyNumberFormat="1" applyFont="1" applyBorder="1"/>
    <xf numFmtId="166" fontId="9" fillId="0" borderId="0" xfId="0" applyNumberFormat="1" applyFont="1"/>
    <xf numFmtId="9" fontId="8" fillId="0" borderId="6" xfId="0" applyNumberFormat="1" applyFont="1" applyBorder="1" applyAlignment="1">
      <alignment horizontal="right"/>
    </xf>
    <xf numFmtId="173" fontId="8" fillId="0" borderId="0" xfId="0" applyNumberFormat="1" applyFont="1" applyAlignment="1">
      <alignment horizontal="right"/>
    </xf>
    <xf numFmtId="7" fontId="9" fillId="0" borderId="0" xfId="0" applyNumberFormat="1" applyFont="1" applyAlignment="1">
      <alignment horizontal="right"/>
    </xf>
    <xf numFmtId="171" fontId="9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64" fontId="6" fillId="0" borderId="6" xfId="0" applyNumberFormat="1" applyFont="1" applyBorder="1"/>
    <xf numFmtId="165" fontId="28" fillId="0" borderId="6" xfId="0" applyNumberFormat="1" applyFont="1" applyBorder="1"/>
    <xf numFmtId="165" fontId="6" fillId="0" borderId="6" xfId="0" applyNumberFormat="1" applyFont="1" applyBorder="1"/>
    <xf numFmtId="170" fontId="5" fillId="0" borderId="6" xfId="0" applyNumberFormat="1" applyFont="1" applyBorder="1"/>
    <xf numFmtId="169" fontId="6" fillId="0" borderId="0" xfId="0" applyNumberFormat="1" applyFont="1"/>
    <xf numFmtId="169" fontId="7" fillId="8" borderId="1" xfId="0" applyNumberFormat="1" applyFont="1" applyFill="1" applyBorder="1"/>
    <xf numFmtId="169" fontId="7" fillId="0" borderId="0" xfId="0" applyNumberFormat="1" applyFont="1"/>
    <xf numFmtId="170" fontId="9" fillId="0" borderId="0" xfId="0" applyNumberFormat="1" applyFont="1"/>
    <xf numFmtId="0" fontId="4" fillId="7" borderId="1" xfId="0" applyFont="1" applyFill="1" applyBorder="1"/>
    <xf numFmtId="165" fontId="20" fillId="9" borderId="1" xfId="0" applyNumberFormat="1" applyFont="1" applyFill="1" applyBorder="1"/>
    <xf numFmtId="164" fontId="21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4" fontId="23" fillId="4" borderId="19" xfId="0" applyNumberFormat="1" applyFont="1" applyFill="1" applyBorder="1" applyAlignment="1">
      <alignment horizontal="right"/>
    </xf>
    <xf numFmtId="9" fontId="7" fillId="0" borderId="0" xfId="0" applyNumberFormat="1" applyFont="1"/>
    <xf numFmtId="10" fontId="5" fillId="0" borderId="0" xfId="0" applyNumberFormat="1" applyFont="1"/>
    <xf numFmtId="166" fontId="8" fillId="0" borderId="6" xfId="0" applyNumberFormat="1" applyFont="1" applyBorder="1" applyAlignment="1">
      <alignment horizontal="right"/>
    </xf>
    <xf numFmtId="164" fontId="25" fillId="0" borderId="0" xfId="0" applyNumberFormat="1" applyFont="1"/>
    <xf numFmtId="164" fontId="8" fillId="0" borderId="5" xfId="0" applyNumberFormat="1" applyFont="1" applyBorder="1"/>
    <xf numFmtId="164" fontId="23" fillId="4" borderId="19" xfId="0" applyNumberFormat="1" applyFont="1" applyFill="1" applyBorder="1" applyAlignment="1">
      <alignment horizontal="right"/>
    </xf>
    <xf numFmtId="170" fontId="31" fillId="0" borderId="0" xfId="1" applyNumberFormat="1" applyFont="1" applyAlignment="1">
      <alignment vertical="center"/>
    </xf>
    <xf numFmtId="170" fontId="2" fillId="0" borderId="0" xfId="1" applyNumberFormat="1" applyFont="1" applyAlignment="1">
      <alignment vertical="center"/>
    </xf>
    <xf numFmtId="43" fontId="8" fillId="0" borderId="0" xfId="0" applyNumberFormat="1" applyFont="1"/>
    <xf numFmtId="170" fontId="1" fillId="0" borderId="0" xfId="1" applyNumberFormat="1" applyFont="1" applyAlignment="1">
      <alignment vertical="center"/>
    </xf>
    <xf numFmtId="164" fontId="7" fillId="4" borderId="14" xfId="0" applyNumberFormat="1" applyFont="1" applyFill="1" applyBorder="1" applyAlignment="1">
      <alignment horizontal="center"/>
    </xf>
    <xf numFmtId="0" fontId="16" fillId="0" borderId="15" xfId="0" applyFont="1" applyBorder="1"/>
    <xf numFmtId="0" fontId="16" fillId="0" borderId="16" xfId="0" applyFont="1" applyBorder="1"/>
    <xf numFmtId="164" fontId="5" fillId="0" borderId="0" xfId="0" applyNumberFormat="1" applyFont="1" applyAlignment="1">
      <alignment horizontal="center"/>
    </xf>
    <xf numFmtId="0" fontId="0" fillId="0" borderId="0" xfId="0" applyFont="1" applyAlignment="1"/>
    <xf numFmtId="164" fontId="20" fillId="2" borderId="14" xfId="0" applyNumberFormat="1" applyFont="1" applyFill="1" applyBorder="1" applyAlignment="1">
      <alignment horizontal="center"/>
    </xf>
    <xf numFmtId="164" fontId="20" fillId="7" borderId="14" xfId="0" applyNumberFormat="1" applyFont="1" applyFill="1" applyBorder="1" applyAlignment="1">
      <alignment horizontal="center"/>
    </xf>
    <xf numFmtId="164" fontId="29" fillId="9" borderId="14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172</xdr:row>
      <xdr:rowOff>47625</xdr:rowOff>
    </xdr:from>
    <xdr:ext cx="9810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860225" y="3603788"/>
          <a:ext cx="971550" cy="352425"/>
        </a:xfrm>
        <a:prstGeom prst="downArrow">
          <a:avLst>
            <a:gd name="adj1" fmla="val 50000"/>
            <a:gd name="adj2" fmla="val 50000"/>
          </a:avLst>
        </a:prstGeom>
        <a:solidFill>
          <a:srgbClr val="132E57"/>
        </a:solidFill>
        <a:ln>
          <a:noFill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172</xdr:row>
      <xdr:rowOff>38100</xdr:rowOff>
    </xdr:from>
    <xdr:ext cx="981075" cy="361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60225" y="3603788"/>
          <a:ext cx="971550" cy="352425"/>
        </a:xfrm>
        <a:prstGeom prst="downArrow">
          <a:avLst>
            <a:gd name="adj1" fmla="val 50000"/>
            <a:gd name="adj2" fmla="val 50000"/>
          </a:avLst>
        </a:prstGeom>
        <a:solidFill>
          <a:srgbClr val="132E57"/>
        </a:solidFill>
        <a:ln>
          <a:noFill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&amp;A+Model+-+Assumption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&amp;A+Model+-+Assumptions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&amp;A Assumptions"/>
      <sheetName val="Pro Forma Assumptions"/>
      <sheetName val="Acquirer statements"/>
      <sheetName val="Acquirer Forecast"/>
      <sheetName val="Target statements"/>
      <sheetName val="Target Forecast"/>
      <sheetName val="DCF Assumptions"/>
    </sheetNames>
    <sheetDataSet>
      <sheetData sheetId="0">
        <row r="5">
          <cell r="C5">
            <v>11.75</v>
          </cell>
        </row>
        <row r="16">
          <cell r="C16">
            <v>50000</v>
          </cell>
        </row>
      </sheetData>
      <sheetData sheetId="1"/>
      <sheetData sheetId="2">
        <row r="6">
          <cell r="C6">
            <v>39023</v>
          </cell>
          <cell r="D6">
            <v>48004</v>
          </cell>
          <cell r="E6">
            <v>49123</v>
          </cell>
          <cell r="F6">
            <v>52654</v>
          </cell>
          <cell r="G6">
            <v>56710</v>
          </cell>
        </row>
        <row r="16">
          <cell r="C16">
            <v>1120.1708000000001</v>
          </cell>
          <cell r="D16">
            <v>4858.2165021220308</v>
          </cell>
          <cell r="E16">
            <v>8482.8061148686775</v>
          </cell>
          <cell r="F16">
            <v>10908.02097640469</v>
          </cell>
          <cell r="G16">
            <v>11597.665241419718</v>
          </cell>
        </row>
        <row r="23">
          <cell r="C23">
            <v>67971.179199999999</v>
          </cell>
          <cell r="D23">
            <v>81209.912697877982</v>
          </cell>
          <cell r="E23">
            <v>83715.256583009294</v>
          </cell>
          <cell r="F23">
            <v>111069.33560660461</v>
          </cell>
          <cell r="G23">
            <v>139549.5203651849</v>
          </cell>
        </row>
        <row r="24">
          <cell r="C24">
            <v>5100.3500000000004</v>
          </cell>
          <cell r="D24">
            <v>5904.3</v>
          </cell>
          <cell r="E24">
            <v>6567.25</v>
          </cell>
          <cell r="F24">
            <v>7117.05</v>
          </cell>
          <cell r="G24">
            <v>7538.6</v>
          </cell>
        </row>
        <row r="25">
          <cell r="C25">
            <v>7804.6</v>
          </cell>
          <cell r="D25">
            <v>9600.8000000000011</v>
          </cell>
          <cell r="E25">
            <v>9824.6</v>
          </cell>
          <cell r="F25">
            <v>10530.800000000001</v>
          </cell>
          <cell r="G25">
            <v>11342</v>
          </cell>
        </row>
        <row r="33">
          <cell r="C33">
            <v>3902.3</v>
          </cell>
          <cell r="D33">
            <v>4800.4000000000005</v>
          </cell>
          <cell r="E33">
            <v>4912.3</v>
          </cell>
          <cell r="F33">
            <v>5265.4000000000005</v>
          </cell>
          <cell r="G33">
            <v>5671</v>
          </cell>
        </row>
        <row r="35">
          <cell r="C35">
            <v>50000</v>
          </cell>
          <cell r="D35">
            <v>50000</v>
          </cell>
          <cell r="E35">
            <v>30000</v>
          </cell>
          <cell r="F35">
            <v>30000</v>
          </cell>
          <cell r="G35">
            <v>30000</v>
          </cell>
        </row>
        <row r="38">
          <cell r="C38">
            <v>70000</v>
          </cell>
          <cell r="D38">
            <v>70000</v>
          </cell>
          <cell r="E38">
            <v>70000</v>
          </cell>
          <cell r="F38">
            <v>70000</v>
          </cell>
          <cell r="G38">
            <v>70000</v>
          </cell>
        </row>
        <row r="39">
          <cell r="C39">
            <v>2473.8292000000001</v>
          </cell>
          <cell r="D39">
            <v>14264.612697877968</v>
          </cell>
          <cell r="E39">
            <v>35339.806583009296</v>
          </cell>
          <cell r="F39">
            <v>62053.285606604608</v>
          </cell>
          <cell r="G39">
            <v>90280.170365184895</v>
          </cell>
        </row>
        <row r="51">
          <cell r="C51">
            <v>50000</v>
          </cell>
        </row>
      </sheetData>
      <sheetData sheetId="3"/>
      <sheetData sheetId="4">
        <row r="5">
          <cell r="C5">
            <v>57127.576164874547</v>
          </cell>
          <cell r="D5">
            <v>66132.392473118278</v>
          </cell>
          <cell r="E5">
            <v>73557.907706093189</v>
          </cell>
          <cell r="F5">
            <v>79716.06182795699</v>
          </cell>
          <cell r="G5">
            <v>84437.724014336913</v>
          </cell>
        </row>
        <row r="6">
          <cell r="C6">
            <v>21854.278673835124</v>
          </cell>
          <cell r="D6">
            <v>26883.960573476703</v>
          </cell>
          <cell r="E6">
            <v>27510.640681003584</v>
          </cell>
          <cell r="F6">
            <v>29488.127240143367</v>
          </cell>
          <cell r="G6">
            <v>31759.632616487455</v>
          </cell>
        </row>
        <row r="9">
          <cell r="C9">
            <v>14800.067204301075</v>
          </cell>
          <cell r="D9">
            <v>12689.292114695339</v>
          </cell>
          <cell r="E9">
            <v>13369.175627240144</v>
          </cell>
          <cell r="F9">
            <v>12881.944444444442</v>
          </cell>
          <cell r="G9">
            <v>14138.104838709674</v>
          </cell>
        </row>
        <row r="10">
          <cell r="C10">
            <v>6139.6729390681003</v>
          </cell>
          <cell r="D10">
            <v>5670.3629032258059</v>
          </cell>
          <cell r="E10">
            <v>5649.0815412186375</v>
          </cell>
          <cell r="F10">
            <v>6171.5949820788537</v>
          </cell>
          <cell r="G10">
            <v>6391.1290322580644</v>
          </cell>
        </row>
        <row r="11">
          <cell r="C11">
            <v>10920.698924731183</v>
          </cell>
          <cell r="D11">
            <v>10164.650537634408</v>
          </cell>
          <cell r="E11">
            <v>9635.4166666666661</v>
          </cell>
          <cell r="F11">
            <v>9264.9529569892475</v>
          </cell>
          <cell r="G11">
            <v>9005.6283602150525</v>
          </cell>
        </row>
        <row r="12">
          <cell r="C12">
            <v>1400.089605734767</v>
          </cell>
          <cell r="D12">
            <v>1400.089605734767</v>
          </cell>
          <cell r="E12">
            <v>840.05376344086017</v>
          </cell>
          <cell r="F12">
            <v>840.05376344086017</v>
          </cell>
          <cell r="G12">
            <v>840.05376344086017</v>
          </cell>
        </row>
        <row r="23">
          <cell r="C23">
            <v>37573.461592473119</v>
          </cell>
          <cell r="D23">
            <v>42850.185726551805</v>
          </cell>
          <cell r="E23">
            <v>40521.137452184921</v>
          </cell>
          <cell r="F23">
            <v>51041.263877213925</v>
          </cell>
          <cell r="G23">
            <v>61888.631117873054</v>
          </cell>
        </row>
        <row r="24">
          <cell r="C24">
            <v>2856.3788082437277</v>
          </cell>
          <cell r="D24">
            <v>3306.619623655914</v>
          </cell>
          <cell r="E24">
            <v>3677.8953853046592</v>
          </cell>
          <cell r="F24">
            <v>3985.80309139785</v>
          </cell>
          <cell r="G24">
            <v>4221.8862007168455</v>
          </cell>
        </row>
        <row r="25">
          <cell r="C25">
            <v>4370.8557347670248</v>
          </cell>
          <cell r="D25">
            <v>5376.7921146953413</v>
          </cell>
          <cell r="E25">
            <v>5502.1281362007167</v>
          </cell>
          <cell r="F25">
            <v>5897.6254480286743</v>
          </cell>
          <cell r="G25">
            <v>6351.9265232974894</v>
          </cell>
        </row>
        <row r="27">
          <cell r="C27">
            <v>25481.630824372758</v>
          </cell>
          <cell r="D27">
            <v>23717.517921146951</v>
          </cell>
          <cell r="E27">
            <v>22482.638888888887</v>
          </cell>
          <cell r="F27">
            <v>21618.223566308243</v>
          </cell>
          <cell r="G27">
            <v>21013.132840501792</v>
          </cell>
        </row>
        <row r="33">
          <cell r="C33">
            <v>2185.4278673835124</v>
          </cell>
          <cell r="D33">
            <v>2688.3960573476702</v>
          </cell>
          <cell r="E33">
            <v>2751.0640681003583</v>
          </cell>
          <cell r="F33">
            <v>2948.8127240143372</v>
          </cell>
          <cell r="G33">
            <v>3175.9632616487452</v>
          </cell>
        </row>
        <row r="35">
          <cell r="D35">
            <v>28001.792114695338</v>
          </cell>
          <cell r="E35">
            <v>16801.075268817203</v>
          </cell>
          <cell r="F35">
            <v>16801.075268817203</v>
          </cell>
          <cell r="G35">
            <v>16801.075268817203</v>
          </cell>
        </row>
        <row r="38">
          <cell r="C38">
            <v>39202.508960573476</v>
          </cell>
          <cell r="D38">
            <v>39202.508960573476</v>
          </cell>
        </row>
        <row r="53">
          <cell r="D53">
            <v>25481.630824372758</v>
          </cell>
          <cell r="E53">
            <v>23717.517921146951</v>
          </cell>
          <cell r="F53">
            <v>22482.638888888887</v>
          </cell>
          <cell r="G53">
            <v>21618.223566308243</v>
          </cell>
        </row>
        <row r="54">
          <cell r="C54">
            <v>8400.5376344086017</v>
          </cell>
          <cell r="D54">
            <v>8400.5376344086017</v>
          </cell>
        </row>
        <row r="57">
          <cell r="C57">
            <v>28001.792114695338</v>
          </cell>
          <cell r="D57">
            <v>28001.792114695338</v>
          </cell>
          <cell r="E57">
            <v>28001.792114695338</v>
          </cell>
          <cell r="F57">
            <v>16801.075268817203</v>
          </cell>
          <cell r="G57">
            <v>16801.075268817203</v>
          </cell>
        </row>
      </sheetData>
      <sheetData sheetId="5"/>
      <sheetData sheetId="6">
        <row r="6">
          <cell r="C6">
            <v>0.04</v>
          </cell>
        </row>
        <row r="7">
          <cell r="C7">
            <v>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&amp;A Assumptions"/>
      <sheetName val="Pro Forma Assumptions"/>
      <sheetName val="Acquirer statements"/>
      <sheetName val="Acquirer Forecast"/>
      <sheetName val="Target statements"/>
      <sheetName val="Target Forecast"/>
      <sheetName val="DCF Assumptions"/>
    </sheetNames>
    <sheetDataSet>
      <sheetData sheetId="0">
        <row r="6">
          <cell r="C6">
            <v>17.3</v>
          </cell>
        </row>
        <row r="11">
          <cell r="C11">
            <v>2000</v>
          </cell>
        </row>
        <row r="12">
          <cell r="C12">
            <v>0.03</v>
          </cell>
        </row>
        <row r="13">
          <cell r="C13">
            <v>0.03</v>
          </cell>
        </row>
        <row r="14">
          <cell r="C14">
            <v>2000</v>
          </cell>
        </row>
        <row r="17">
          <cell r="C17">
            <v>25000</v>
          </cell>
        </row>
        <row r="19">
          <cell r="C19">
            <v>0.01</v>
          </cell>
        </row>
        <row r="22">
          <cell r="C22">
            <v>5500</v>
          </cell>
          <cell r="D22">
            <v>6000</v>
          </cell>
          <cell r="E22">
            <v>6000</v>
          </cell>
          <cell r="F22">
            <v>6500</v>
          </cell>
          <cell r="G22">
            <v>6500</v>
          </cell>
        </row>
        <row r="23">
          <cell r="C23">
            <v>875</v>
          </cell>
          <cell r="D23">
            <v>875</v>
          </cell>
          <cell r="E23">
            <v>875</v>
          </cell>
          <cell r="F23">
            <v>875</v>
          </cell>
          <cell r="G23">
            <v>875</v>
          </cell>
        </row>
        <row r="24">
          <cell r="C24">
            <v>1250</v>
          </cell>
        </row>
        <row r="25">
          <cell r="C25">
            <v>1000</v>
          </cell>
        </row>
        <row r="27">
          <cell r="C27">
            <v>0.3</v>
          </cell>
        </row>
        <row r="28">
          <cell r="C28">
            <v>0.65</v>
          </cell>
        </row>
        <row r="29">
          <cell r="C29">
            <v>1</v>
          </cell>
        </row>
        <row r="33">
          <cell r="D33">
            <v>100000</v>
          </cell>
          <cell r="E33">
            <v>100000</v>
          </cell>
          <cell r="F33">
            <v>100000</v>
          </cell>
          <cell r="G33">
            <v>100000</v>
          </cell>
        </row>
        <row r="34">
          <cell r="C34">
            <v>0</v>
          </cell>
          <cell r="D34">
            <v>0</v>
          </cell>
          <cell r="E34">
            <v>50000</v>
          </cell>
          <cell r="F34">
            <v>50000</v>
          </cell>
          <cell r="G34">
            <v>50000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25000</v>
          </cell>
          <cell r="G35">
            <v>25000</v>
          </cell>
        </row>
        <row r="37">
          <cell r="C37">
            <v>5.5E-2</v>
          </cell>
        </row>
        <row r="38">
          <cell r="C38">
            <v>5.7500000000000002E-2</v>
          </cell>
        </row>
        <row r="39">
          <cell r="C39">
            <v>8.2500000000000004E-2</v>
          </cell>
        </row>
        <row r="42">
          <cell r="C42">
            <v>0.15</v>
          </cell>
          <cell r="D42">
            <v>0.15</v>
          </cell>
          <cell r="E42">
            <v>0.2</v>
          </cell>
          <cell r="F42">
            <v>0.25</v>
          </cell>
          <cell r="G42">
            <v>0.3</v>
          </cell>
        </row>
        <row r="43">
          <cell r="C43">
            <v>0</v>
          </cell>
          <cell r="D43">
            <v>0.2</v>
          </cell>
          <cell r="E43">
            <v>0.4</v>
          </cell>
          <cell r="F43">
            <v>0.5</v>
          </cell>
          <cell r="G43">
            <v>0.55000000000000004</v>
          </cell>
        </row>
      </sheetData>
      <sheetData sheetId="1"/>
      <sheetData sheetId="2"/>
      <sheetData sheetId="3"/>
      <sheetData sheetId="4">
        <row r="35">
          <cell r="C35">
            <v>28001.792114695301</v>
          </cell>
        </row>
        <row r="39">
          <cell r="C39">
            <v>893</v>
          </cell>
        </row>
        <row r="46">
          <cell r="E46">
            <v>-11199</v>
          </cell>
        </row>
        <row r="53">
          <cell r="C53">
            <v>28004.792114695301</v>
          </cell>
        </row>
      </sheetData>
      <sheetData sheetId="5"/>
      <sheetData sheetId="6">
        <row r="4">
          <cell r="C4">
            <v>0.25</v>
          </cell>
        </row>
        <row r="5">
          <cell r="C5">
            <v>0.12</v>
          </cell>
        </row>
        <row r="6">
          <cell r="C6">
            <v>0.04</v>
          </cell>
        </row>
        <row r="7">
          <cell r="C7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127" workbookViewId="0">
      <selection activeCell="H6" sqref="H6"/>
    </sheetView>
  </sheetViews>
  <sheetFormatPr defaultColWidth="12.5703125" defaultRowHeight="15" customHeight="1" outlineLevelRow="1" x14ac:dyDescent="0.2"/>
  <cols>
    <col min="1" max="7" width="14.42578125" customWidth="1"/>
    <col min="8" max="8" width="20.85546875" bestFit="1" customWidth="1"/>
    <col min="9" max="13" width="14.42578125" customWidth="1"/>
    <col min="14" max="26" width="9.140625" customWidth="1"/>
  </cols>
  <sheetData>
    <row r="1" spans="1:26" ht="21" customHeight="1" x14ac:dyDescent="0.35">
      <c r="A1" s="1" t="str">
        <f>"Merger Assumptions for "&amp;D6&amp;" &amp; "&amp;D7</f>
        <v>Merger Assumptions for Online Company Inc &amp; Brick 'n' Mortar Co</v>
      </c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x14ac:dyDescent="0.25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1" x14ac:dyDescent="0.35">
      <c r="A3" s="9" t="s">
        <v>0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outlineLevel="1" x14ac:dyDescent="0.25">
      <c r="A4" s="6"/>
      <c r="B4" s="6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outlineLevel="1" x14ac:dyDescent="0.25">
      <c r="A5" s="12" t="s">
        <v>1</v>
      </c>
      <c r="B5" s="13"/>
      <c r="C5" s="14"/>
      <c r="D5" s="13"/>
      <c r="E5" s="6"/>
      <c r="F5" s="12" t="s">
        <v>2</v>
      </c>
      <c r="G5" s="13"/>
      <c r="H5" s="13"/>
      <c r="I5" s="13"/>
      <c r="J5" s="13"/>
      <c r="K5" s="13"/>
      <c r="L5" s="13"/>
      <c r="M5" s="13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outlineLevel="1" x14ac:dyDescent="0.25">
      <c r="A6" s="6" t="s">
        <v>3</v>
      </c>
      <c r="B6" s="6"/>
      <c r="C6" s="7"/>
      <c r="D6" s="15" t="s">
        <v>4</v>
      </c>
      <c r="E6" s="6"/>
      <c r="F6" s="16" t="s">
        <v>5</v>
      </c>
      <c r="G6" s="17" t="s">
        <v>6</v>
      </c>
      <c r="H6" s="18">
        <v>1</v>
      </c>
      <c r="I6" s="19">
        <v>1</v>
      </c>
      <c r="J6" s="19">
        <f t="shared" ref="J6:M6" si="0">+I6+1</f>
        <v>2</v>
      </c>
      <c r="K6" s="19">
        <f t="shared" si="0"/>
        <v>3</v>
      </c>
      <c r="L6" s="19">
        <f t="shared" si="0"/>
        <v>4</v>
      </c>
      <c r="M6" s="19">
        <f t="shared" si="0"/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outlineLevel="1" x14ac:dyDescent="0.25">
      <c r="A7" s="20" t="s">
        <v>7</v>
      </c>
      <c r="B7" s="20"/>
      <c r="C7" s="21"/>
      <c r="D7" s="22" t="s">
        <v>8</v>
      </c>
      <c r="E7" s="6"/>
      <c r="F7" s="6"/>
      <c r="G7" s="6"/>
      <c r="H7" s="2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outlineLevel="1" x14ac:dyDescent="0.25">
      <c r="A8" s="6" t="s">
        <v>9</v>
      </c>
      <c r="B8" s="6"/>
      <c r="C8" s="23"/>
      <c r="D8" s="24">
        <f>'[1]M&amp;A Assumptions'!$C$5</f>
        <v>11.75</v>
      </c>
      <c r="E8" s="6"/>
      <c r="F8" s="25" t="s">
        <v>10</v>
      </c>
      <c r="G8" s="6"/>
      <c r="H8" s="2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outlineLevel="1" x14ac:dyDescent="0.25">
      <c r="A9" s="6" t="s">
        <v>11</v>
      </c>
      <c r="B9" s="6"/>
      <c r="C9" s="23"/>
      <c r="D9" s="24">
        <f>'Target Model'!C159</f>
        <v>17.3</v>
      </c>
      <c r="E9" s="6"/>
      <c r="F9" s="26" t="s">
        <v>12</v>
      </c>
      <c r="G9" s="26"/>
      <c r="H9" s="27">
        <f t="shared" ref="H9:H12" ca="1" si="1">+OFFSET(I9,0,$H$6-1)</f>
        <v>5500</v>
      </c>
      <c r="I9" s="28">
        <f>'[2]M&amp;A Assumptions'!$C$22</f>
        <v>5500</v>
      </c>
      <c r="J9" s="28">
        <f>'[2]M&amp;A Assumptions'!$D$22</f>
        <v>6000</v>
      </c>
      <c r="K9" s="28">
        <f>'[2]M&amp;A Assumptions'!$E$22</f>
        <v>6000</v>
      </c>
      <c r="L9" s="28">
        <f>'[2]M&amp;A Assumptions'!$F$22</f>
        <v>6500</v>
      </c>
      <c r="M9" s="28">
        <f>'[2]M&amp;A Assumptions'!$G$22</f>
        <v>6500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outlineLevel="1" x14ac:dyDescent="0.25">
      <c r="A10" s="6" t="s">
        <v>13</v>
      </c>
      <c r="B10" s="6"/>
      <c r="C10" s="7"/>
      <c r="D10" s="29">
        <v>45838</v>
      </c>
      <c r="E10" s="6"/>
      <c r="F10" s="6" t="s">
        <v>14</v>
      </c>
      <c r="G10" s="6"/>
      <c r="H10" s="30">
        <f t="shared" ca="1" si="1"/>
        <v>875</v>
      </c>
      <c r="I10" s="19">
        <f>'[2]M&amp;A Assumptions'!$C$23</f>
        <v>875</v>
      </c>
      <c r="J10" s="19">
        <f>'[2]M&amp;A Assumptions'!$D$23</f>
        <v>875</v>
      </c>
      <c r="K10" s="19">
        <f>'[2]M&amp;A Assumptions'!$E$23</f>
        <v>875</v>
      </c>
      <c r="L10" s="19">
        <f>'[2]M&amp;A Assumptions'!$F$23</f>
        <v>875</v>
      </c>
      <c r="M10" s="19">
        <f>'[2]M&amp;A Assumptions'!$G$23</f>
        <v>875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outlineLevel="1" x14ac:dyDescent="0.25">
      <c r="A11" s="6" t="s">
        <v>15</v>
      </c>
      <c r="B11" s="6"/>
      <c r="C11" s="7"/>
      <c r="D11" s="15" t="s">
        <v>16</v>
      </c>
      <c r="E11" s="6"/>
      <c r="F11" s="6" t="s">
        <v>17</v>
      </c>
      <c r="G11" s="6"/>
      <c r="H11" s="30">
        <f t="shared" ca="1" si="1"/>
        <v>1250</v>
      </c>
      <c r="I11" s="19">
        <f>'[2]M&amp;A Assumptions'!$C$24</f>
        <v>1250</v>
      </c>
      <c r="J11" s="19">
        <f>'[2]M&amp;A Assumptions'!$C$24</f>
        <v>1250</v>
      </c>
      <c r="K11" s="19">
        <f>'[2]M&amp;A Assumptions'!$C$24</f>
        <v>1250</v>
      </c>
      <c r="L11" s="19">
        <f>'[2]M&amp;A Assumptions'!$C$24</f>
        <v>1250</v>
      </c>
      <c r="M11" s="19">
        <f>'[2]M&amp;A Assumptions'!$C$24</f>
        <v>1250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outlineLevel="1" x14ac:dyDescent="0.25">
      <c r="A12" s="6" t="s">
        <v>18</v>
      </c>
      <c r="B12" s="6"/>
      <c r="C12" s="7"/>
      <c r="D12" s="15" t="s">
        <v>19</v>
      </c>
      <c r="E12" s="6"/>
      <c r="F12" s="31" t="s">
        <v>20</v>
      </c>
      <c r="G12" s="6"/>
      <c r="H12" s="30">
        <f t="shared" ca="1" si="1"/>
        <v>1000</v>
      </c>
      <c r="I12" s="19">
        <f>'[2]M&amp;A Assumptions'!$C$25</f>
        <v>1000</v>
      </c>
      <c r="J12" s="19">
        <f>'[2]M&amp;A Assumptions'!$C$25</f>
        <v>1000</v>
      </c>
      <c r="K12" s="19">
        <f>'[2]M&amp;A Assumptions'!$C$25</f>
        <v>1000</v>
      </c>
      <c r="L12" s="19">
        <f>'[2]M&amp;A Assumptions'!$C$25</f>
        <v>1000</v>
      </c>
      <c r="M12" s="19">
        <f>'[2]M&amp;A Assumptions'!$C$25</f>
        <v>1000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outlineLevel="1" x14ac:dyDescent="0.25">
      <c r="A13" s="6"/>
      <c r="B13" s="6"/>
      <c r="C13" s="7"/>
      <c r="D13" s="6"/>
      <c r="E13" s="6"/>
      <c r="F13" s="6"/>
      <c r="G13" s="6"/>
      <c r="H13" s="3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outlineLevel="1" x14ac:dyDescent="0.25">
      <c r="A14" s="6" t="s">
        <v>21</v>
      </c>
      <c r="B14" s="6"/>
      <c r="C14" s="7"/>
      <c r="D14" s="19">
        <f>'[2]M&amp;A Assumptions'!$C$11</f>
        <v>2000</v>
      </c>
      <c r="E14" s="6"/>
      <c r="F14" s="6" t="s">
        <v>22</v>
      </c>
      <c r="G14" s="6"/>
      <c r="H14" s="32">
        <f t="shared" ref="H14:H16" ca="1" si="2">+OFFSET(I14,0,$H$6-1)</f>
        <v>0.3</v>
      </c>
      <c r="I14" s="33">
        <f>'[2]M&amp;A Assumptions'!$C$27</f>
        <v>0.3</v>
      </c>
      <c r="J14" s="33">
        <f>'[2]M&amp;A Assumptions'!$C$27</f>
        <v>0.3</v>
      </c>
      <c r="K14" s="33">
        <f>'[2]M&amp;A Assumptions'!$C$27</f>
        <v>0.3</v>
      </c>
      <c r="L14" s="33">
        <f>'[2]M&amp;A Assumptions'!$C$27</f>
        <v>0.3</v>
      </c>
      <c r="M14" s="33">
        <f>'[2]M&amp;A Assumptions'!$C$27</f>
        <v>0.3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outlineLevel="1" x14ac:dyDescent="0.25">
      <c r="A15" s="6" t="s">
        <v>23</v>
      </c>
      <c r="B15" s="6"/>
      <c r="C15" s="7"/>
      <c r="D15" s="34">
        <f>'[2]M&amp;A Assumptions'!$C$12</f>
        <v>0.03</v>
      </c>
      <c r="E15" s="6"/>
      <c r="F15" s="6" t="s">
        <v>24</v>
      </c>
      <c r="G15" s="6"/>
      <c r="H15" s="32">
        <f t="shared" ca="1" si="2"/>
        <v>0.65</v>
      </c>
      <c r="I15" s="33">
        <f>'[2]M&amp;A Assumptions'!$C$28</f>
        <v>0.65</v>
      </c>
      <c r="J15" s="33">
        <f>'[2]M&amp;A Assumptions'!$C$28</f>
        <v>0.65</v>
      </c>
      <c r="K15" s="33">
        <f>'[2]M&amp;A Assumptions'!$C$28</f>
        <v>0.65</v>
      </c>
      <c r="L15" s="33">
        <f>'[2]M&amp;A Assumptions'!$C$28</f>
        <v>0.65</v>
      </c>
      <c r="M15" s="33">
        <f>'[2]M&amp;A Assumptions'!$C$28</f>
        <v>0.65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outlineLevel="1" x14ac:dyDescent="0.25">
      <c r="A16" s="6" t="s">
        <v>25</v>
      </c>
      <c r="B16" s="6"/>
      <c r="C16" s="7"/>
      <c r="D16" s="34">
        <f>'[2]M&amp;A Assumptions'!$C$13</f>
        <v>0.03</v>
      </c>
      <c r="E16" s="6"/>
      <c r="F16" s="6" t="s">
        <v>26</v>
      </c>
      <c r="G16" s="6"/>
      <c r="H16" s="32">
        <f t="shared" ca="1" si="2"/>
        <v>1</v>
      </c>
      <c r="I16" s="33">
        <f>'[2]M&amp;A Assumptions'!$C$29</f>
        <v>1</v>
      </c>
      <c r="J16" s="33">
        <f>'[2]M&amp;A Assumptions'!$C$29</f>
        <v>1</v>
      </c>
      <c r="K16" s="33">
        <f>'[2]M&amp;A Assumptions'!$C$29</f>
        <v>1</v>
      </c>
      <c r="L16" s="33">
        <f>'[2]M&amp;A Assumptions'!$C$29</f>
        <v>1</v>
      </c>
      <c r="M16" s="33">
        <f>'[2]M&amp;A Assumptions'!$C$29</f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outlineLevel="1" x14ac:dyDescent="0.25">
      <c r="A17" s="6" t="s">
        <v>27</v>
      </c>
      <c r="B17" s="6"/>
      <c r="C17" s="7"/>
      <c r="D17" s="19">
        <f>'[2]M&amp;A Assumptions'!$C$14</f>
        <v>2000</v>
      </c>
      <c r="E17" s="6"/>
      <c r="F17" s="6"/>
      <c r="G17" s="6"/>
      <c r="H17" s="2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outlineLevel="1" x14ac:dyDescent="0.25">
      <c r="A18" s="6"/>
      <c r="B18" s="6"/>
      <c r="C18" s="7"/>
      <c r="D18" s="19"/>
      <c r="E18" s="6"/>
      <c r="F18" s="25" t="s">
        <v>28</v>
      </c>
      <c r="G18" s="6"/>
      <c r="H18" s="2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outlineLevel="1" x14ac:dyDescent="0.25">
      <c r="A19" s="6" t="s">
        <v>29</v>
      </c>
      <c r="B19" s="6"/>
      <c r="C19" s="7"/>
      <c r="D19" s="15" t="s">
        <v>33</v>
      </c>
      <c r="E19" s="6"/>
      <c r="F19" s="35" t="s">
        <v>31</v>
      </c>
      <c r="G19" s="26"/>
      <c r="H19" s="36"/>
      <c r="I19" s="26"/>
      <c r="J19" s="26"/>
      <c r="K19" s="26"/>
      <c r="L19" s="26"/>
      <c r="M19" s="2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outlineLevel="1" x14ac:dyDescent="0.25">
      <c r="A20" s="6" t="s">
        <v>32</v>
      </c>
      <c r="B20" s="6"/>
      <c r="C20" s="7"/>
      <c r="D20" s="15" t="s">
        <v>30</v>
      </c>
      <c r="E20" s="6"/>
      <c r="F20" s="6" t="s">
        <v>34</v>
      </c>
      <c r="G20" s="6"/>
      <c r="H20" s="30">
        <f t="shared" ref="H20:H22" ca="1" si="3">+OFFSET(I20,0,$H$6-1)</f>
        <v>0</v>
      </c>
      <c r="I20" s="19">
        <v>0</v>
      </c>
      <c r="J20" s="19">
        <f>'[2]M&amp;A Assumptions'!$D$33</f>
        <v>100000</v>
      </c>
      <c r="K20" s="19">
        <f>'[2]M&amp;A Assumptions'!$E$33</f>
        <v>100000</v>
      </c>
      <c r="L20" s="19">
        <f>'[2]M&amp;A Assumptions'!$F$33</f>
        <v>100000</v>
      </c>
      <c r="M20" s="19">
        <f>'[2]M&amp;A Assumptions'!$G$33</f>
        <v>100000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outlineLevel="1" x14ac:dyDescent="0.25">
      <c r="A21" s="6"/>
      <c r="B21" s="6"/>
      <c r="C21" s="7"/>
      <c r="D21" s="19"/>
      <c r="E21" s="6"/>
      <c r="F21" s="6" t="s">
        <v>35</v>
      </c>
      <c r="G21" s="6"/>
      <c r="H21" s="30">
        <f t="shared" ca="1" si="3"/>
        <v>0</v>
      </c>
      <c r="I21" s="19">
        <f>'[2]M&amp;A Assumptions'!$C$34</f>
        <v>0</v>
      </c>
      <c r="J21" s="19">
        <f>'[2]M&amp;A Assumptions'!$D$34</f>
        <v>0</v>
      </c>
      <c r="K21" s="19">
        <f>'[2]M&amp;A Assumptions'!$E$34</f>
        <v>50000</v>
      </c>
      <c r="L21" s="19">
        <f>'[2]M&amp;A Assumptions'!$F$34</f>
        <v>50000</v>
      </c>
      <c r="M21" s="19">
        <f>'[2]M&amp;A Assumptions'!$G$34</f>
        <v>50000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outlineLevel="1" x14ac:dyDescent="0.25">
      <c r="A22" s="6" t="s">
        <v>36</v>
      </c>
      <c r="B22" s="6"/>
      <c r="C22" s="7"/>
      <c r="D22" s="19">
        <f>'[1]M&amp;A Assumptions'!$C$16</f>
        <v>50000</v>
      </c>
      <c r="E22" s="6"/>
      <c r="F22" s="6" t="s">
        <v>37</v>
      </c>
      <c r="G22" s="6"/>
      <c r="H22" s="30">
        <f t="shared" ca="1" si="3"/>
        <v>0</v>
      </c>
      <c r="I22" s="19">
        <f>'[2]M&amp;A Assumptions'!$C$35</f>
        <v>0</v>
      </c>
      <c r="J22" s="19">
        <f>'[2]M&amp;A Assumptions'!$D$35</f>
        <v>0</v>
      </c>
      <c r="K22" s="19">
        <f>'[2]M&amp;A Assumptions'!$E$35</f>
        <v>0</v>
      </c>
      <c r="L22" s="19">
        <f>'[2]M&amp;A Assumptions'!$F$35</f>
        <v>25000</v>
      </c>
      <c r="M22" s="19">
        <f>'[2]M&amp;A Assumptions'!$G$35</f>
        <v>25000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outlineLevel="1" x14ac:dyDescent="0.25">
      <c r="A23" s="6" t="s">
        <v>38</v>
      </c>
      <c r="B23" s="6"/>
      <c r="C23" s="7"/>
      <c r="D23" s="19">
        <v>25000</v>
      </c>
      <c r="E23" s="6"/>
      <c r="F23" s="25" t="s">
        <v>39</v>
      </c>
      <c r="G23" s="6"/>
      <c r="H23" s="30"/>
      <c r="I23" s="19"/>
      <c r="J23" s="19"/>
      <c r="K23" s="19"/>
      <c r="L23" s="19"/>
      <c r="M23" s="19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outlineLevel="1" x14ac:dyDescent="0.25">
      <c r="A24" s="6" t="s">
        <v>40</v>
      </c>
      <c r="B24" s="6"/>
      <c r="C24" s="7"/>
      <c r="D24" s="6">
        <f ca="1">+M38/D28</f>
        <v>42757.360842467227</v>
      </c>
      <c r="E24" s="6"/>
      <c r="F24" s="6" t="s">
        <v>34</v>
      </c>
      <c r="G24" s="6"/>
      <c r="H24" s="37">
        <f t="shared" ref="H24:H26" ca="1" si="4">+OFFSET(I24,0,$H$6-1)</f>
        <v>5.5E-2</v>
      </c>
      <c r="I24" s="38">
        <f>'[2]M&amp;A Assumptions'!$C$37</f>
        <v>5.5E-2</v>
      </c>
      <c r="J24" s="38">
        <f>'[2]M&amp;A Assumptions'!$C$37</f>
        <v>5.5E-2</v>
      </c>
      <c r="K24" s="38">
        <f>'[2]M&amp;A Assumptions'!$C$37</f>
        <v>5.5E-2</v>
      </c>
      <c r="L24" s="38">
        <f>'[2]M&amp;A Assumptions'!$C$37</f>
        <v>5.5E-2</v>
      </c>
      <c r="M24" s="38">
        <f>'[2]M&amp;A Assumptions'!$C$37</f>
        <v>5.5E-2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outlineLevel="1" x14ac:dyDescent="0.25">
      <c r="A25" s="6" t="s">
        <v>41</v>
      </c>
      <c r="B25" s="6"/>
      <c r="C25" s="7"/>
      <c r="D25" s="6">
        <f ca="1">+D22+D24</f>
        <v>92757.360842467227</v>
      </c>
      <c r="E25" s="6"/>
      <c r="F25" s="6" t="s">
        <v>35</v>
      </c>
      <c r="G25" s="6"/>
      <c r="H25" s="37">
        <f t="shared" ca="1" si="4"/>
        <v>5.7500000000000002E-2</v>
      </c>
      <c r="I25" s="38">
        <f>'[2]M&amp;A Assumptions'!$C$38</f>
        <v>5.7500000000000002E-2</v>
      </c>
      <c r="J25" s="38">
        <f>'[2]M&amp;A Assumptions'!$C$38</f>
        <v>5.7500000000000002E-2</v>
      </c>
      <c r="K25" s="38">
        <f>'[2]M&amp;A Assumptions'!$C$38</f>
        <v>5.7500000000000002E-2</v>
      </c>
      <c r="L25" s="38">
        <f>'[2]M&amp;A Assumptions'!$C$38</f>
        <v>5.7500000000000002E-2</v>
      </c>
      <c r="M25" s="38">
        <f>'[2]M&amp;A Assumptions'!$C$38</f>
        <v>5.7500000000000002E-2</v>
      </c>
      <c r="N25" s="3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outlineLevel="1" x14ac:dyDescent="0.25">
      <c r="A26" s="6"/>
      <c r="B26" s="6"/>
      <c r="C26" s="7"/>
      <c r="D26" s="6"/>
      <c r="E26" s="6"/>
      <c r="F26" s="6" t="s">
        <v>37</v>
      </c>
      <c r="G26" s="6"/>
      <c r="H26" s="37">
        <f t="shared" ca="1" si="4"/>
        <v>8.2500000000000004E-2</v>
      </c>
      <c r="I26" s="38">
        <f>'[2]M&amp;A Assumptions'!$C$39</f>
        <v>8.2500000000000004E-2</v>
      </c>
      <c r="J26" s="38">
        <f>'[2]M&amp;A Assumptions'!$C$39</f>
        <v>8.2500000000000004E-2</v>
      </c>
      <c r="K26" s="38">
        <f>'[2]M&amp;A Assumptions'!$C$39</f>
        <v>8.2500000000000004E-2</v>
      </c>
      <c r="L26" s="38">
        <f>'[2]M&amp;A Assumptions'!$C$39</f>
        <v>8.2500000000000004E-2</v>
      </c>
      <c r="M26" s="38">
        <f>'[2]M&amp;A Assumptions'!$C$39</f>
        <v>8.2500000000000004E-2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outlineLevel="1" x14ac:dyDescent="0.25">
      <c r="A27" s="6" t="s">
        <v>42</v>
      </c>
      <c r="B27" s="6"/>
      <c r="C27" s="7"/>
      <c r="D27" s="34">
        <f>'[2]M&amp;A Assumptions'!$C$19</f>
        <v>0.01</v>
      </c>
      <c r="E27" s="6"/>
      <c r="F27" s="25"/>
      <c r="G27" s="6"/>
      <c r="H27" s="3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outlineLevel="1" x14ac:dyDescent="0.25">
      <c r="A28" s="6" t="s">
        <v>43</v>
      </c>
      <c r="B28" s="6"/>
      <c r="C28" s="7"/>
      <c r="D28" s="40">
        <f>+D8*(1-D27)</f>
        <v>11.6325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outlineLevel="1" x14ac:dyDescent="0.25">
      <c r="A29" s="6"/>
      <c r="B29" s="6"/>
      <c r="C29" s="7"/>
      <c r="D29" s="6"/>
      <c r="E29" s="6"/>
      <c r="F29" s="25" t="s">
        <v>44</v>
      </c>
      <c r="G29" s="6"/>
      <c r="H29" s="2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outlineLevel="1" x14ac:dyDescent="0.25">
      <c r="A30" s="6"/>
      <c r="B30" s="6"/>
      <c r="C30" s="7"/>
      <c r="D30" s="6"/>
      <c r="E30" s="6"/>
      <c r="F30" s="26" t="s">
        <v>45</v>
      </c>
      <c r="G30" s="26"/>
      <c r="H30" s="41">
        <f t="shared" ref="H30:H31" ca="1" si="5">+OFFSET(I30,0,$H$6-1)</f>
        <v>0.15</v>
      </c>
      <c r="I30" s="42">
        <f>'[2]M&amp;A Assumptions'!$C$42</f>
        <v>0.15</v>
      </c>
      <c r="J30" s="42">
        <f>'[2]M&amp;A Assumptions'!$D$42</f>
        <v>0.15</v>
      </c>
      <c r="K30" s="42">
        <f>'[2]M&amp;A Assumptions'!$E$42</f>
        <v>0.2</v>
      </c>
      <c r="L30" s="42">
        <f>'[2]M&amp;A Assumptions'!$F$42</f>
        <v>0.25</v>
      </c>
      <c r="M30" s="42">
        <f>'[2]M&amp;A Assumptions'!$G$42</f>
        <v>0.3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outlineLevel="1" x14ac:dyDescent="0.25">
      <c r="A31" s="12" t="s">
        <v>46</v>
      </c>
      <c r="B31" s="13"/>
      <c r="C31" s="14"/>
      <c r="D31" s="13"/>
      <c r="E31" s="6"/>
      <c r="F31" s="6" t="s">
        <v>47</v>
      </c>
      <c r="G31" s="6"/>
      <c r="H31" s="43">
        <f t="shared" ca="1" si="5"/>
        <v>0</v>
      </c>
      <c r="I31" s="34">
        <f>'[2]M&amp;A Assumptions'!$C$43</f>
        <v>0</v>
      </c>
      <c r="J31" s="34">
        <f>'[2]M&amp;A Assumptions'!$D$43</f>
        <v>0.2</v>
      </c>
      <c r="K31" s="34">
        <f>'[2]M&amp;A Assumptions'!$E$43</f>
        <v>0.4</v>
      </c>
      <c r="L31" s="34">
        <f>'[2]M&amp;A Assumptions'!$F$43</f>
        <v>0.5</v>
      </c>
      <c r="M31" s="34">
        <f>'[2]M&amp;A Assumptions'!$G$43</f>
        <v>0.55000000000000004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outlineLevel="1" x14ac:dyDescent="0.25">
      <c r="A32" s="6" t="s">
        <v>11</v>
      </c>
      <c r="B32" s="6"/>
      <c r="C32" s="7"/>
      <c r="D32" s="40">
        <f>+D9</f>
        <v>17.3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outlineLevel="1" x14ac:dyDescent="0.25">
      <c r="A33" s="6" t="s">
        <v>45</v>
      </c>
      <c r="B33" s="6"/>
      <c r="C33" s="7"/>
      <c r="D33" s="44">
        <f ca="1">+H30</f>
        <v>0.15</v>
      </c>
      <c r="E33" s="6"/>
      <c r="F33" s="6"/>
      <c r="G33" s="6"/>
      <c r="H33" s="2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outlineLevel="1" x14ac:dyDescent="0.25">
      <c r="A34" s="26" t="s">
        <v>48</v>
      </c>
      <c r="B34" s="26"/>
      <c r="C34" s="45"/>
      <c r="D34" s="46">
        <f ca="1">+D32*(1+D33)</f>
        <v>19.895</v>
      </c>
      <c r="E34" s="6"/>
      <c r="F34" s="6"/>
      <c r="G34" s="6"/>
      <c r="H34" s="2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outlineLevel="1" x14ac:dyDescent="0.25">
      <c r="A35" s="6"/>
      <c r="B35" s="6"/>
      <c r="C35" s="7"/>
      <c r="D35" s="6"/>
      <c r="E35" s="6"/>
      <c r="F35" s="12" t="s">
        <v>49</v>
      </c>
      <c r="G35" s="13"/>
      <c r="H35" s="14"/>
      <c r="I35" s="13"/>
      <c r="J35" s="12"/>
      <c r="K35" s="13"/>
      <c r="L35" s="14"/>
      <c r="M35" s="13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outlineLevel="1" x14ac:dyDescent="0.25">
      <c r="A36" s="6" t="s">
        <v>9</v>
      </c>
      <c r="B36" s="6"/>
      <c r="C36" s="7"/>
      <c r="D36" s="40">
        <f>+D8</f>
        <v>11.75</v>
      </c>
      <c r="E36" s="6"/>
      <c r="F36" s="25" t="s">
        <v>50</v>
      </c>
      <c r="G36" s="6"/>
      <c r="H36" s="6"/>
      <c r="I36" s="20"/>
      <c r="J36" s="20"/>
      <c r="K36" s="2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outlineLevel="1" x14ac:dyDescent="0.25">
      <c r="A37" s="6" t="s">
        <v>51</v>
      </c>
      <c r="B37" s="6"/>
      <c r="C37" s="7"/>
      <c r="D37" s="47">
        <f ca="1">+D34/D36</f>
        <v>1.6931914893617022</v>
      </c>
      <c r="E37" s="6"/>
      <c r="F37" s="26" t="s">
        <v>52</v>
      </c>
      <c r="G37" s="26"/>
      <c r="H37" s="26"/>
      <c r="I37" s="6">
        <f ca="1">+M44-SUM(I38:I43)</f>
        <v>46921.25</v>
      </c>
      <c r="J37" s="6"/>
      <c r="K37" s="26" t="s">
        <v>47</v>
      </c>
      <c r="L37" s="26"/>
      <c r="M37" s="26">
        <f ca="1">+D41*H31</f>
        <v>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outlineLevel="1" x14ac:dyDescent="0.25">
      <c r="A38" s="6"/>
      <c r="B38" s="6"/>
      <c r="C38" s="7"/>
      <c r="D38" s="6"/>
      <c r="E38" s="6"/>
      <c r="F38" s="6" t="s">
        <v>53</v>
      </c>
      <c r="G38" s="6"/>
      <c r="H38" s="6"/>
      <c r="I38" s="6">
        <f ca="1">+M38</f>
        <v>497375</v>
      </c>
      <c r="J38" s="6"/>
      <c r="K38" s="6" t="s">
        <v>54</v>
      </c>
      <c r="L38" s="6"/>
      <c r="M38" s="6">
        <f ca="1">+D41-M37</f>
        <v>497375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outlineLevel="1" x14ac:dyDescent="0.25">
      <c r="A39" s="6" t="s">
        <v>55</v>
      </c>
      <c r="B39" s="6"/>
      <c r="C39" s="7"/>
      <c r="D39" s="6">
        <f>+D23</f>
        <v>25000</v>
      </c>
      <c r="E39" s="6"/>
      <c r="F39" s="6" t="s">
        <v>56</v>
      </c>
      <c r="G39" s="6"/>
      <c r="H39" s="6"/>
      <c r="I39" s="6">
        <f ca="1">+SUM(H20:H22)</f>
        <v>0</v>
      </c>
      <c r="J39" s="6"/>
      <c r="K39" s="6" t="s">
        <v>57</v>
      </c>
      <c r="L39" s="6"/>
      <c r="M39" s="6">
        <f>+IF(D19="Yes", D42,0)</f>
        <v>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outlineLevel="1" x14ac:dyDescent="0.25">
      <c r="A40" s="6" t="s">
        <v>48</v>
      </c>
      <c r="B40" s="6"/>
      <c r="C40" s="7"/>
      <c r="D40" s="40">
        <f ca="1">+D34</f>
        <v>19.895</v>
      </c>
      <c r="E40" s="6"/>
      <c r="F40" s="6"/>
      <c r="G40" s="6"/>
      <c r="H40" s="6"/>
      <c r="I40" s="6"/>
      <c r="J40" s="6"/>
      <c r="K40" s="6" t="s">
        <v>58</v>
      </c>
      <c r="L40" s="6"/>
      <c r="M40" s="48">
        <f>+IF(D20="Yes",'Acquirer Model'!O90+'Acquirer Model'!O93,0)</f>
        <v>30000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outlineLevel="1" x14ac:dyDescent="0.25">
      <c r="A41" s="35" t="s">
        <v>46</v>
      </c>
      <c r="B41" s="35"/>
      <c r="C41" s="49"/>
      <c r="D41" s="35">
        <f ca="1">+D39*D40</f>
        <v>497375</v>
      </c>
      <c r="E41" s="6"/>
      <c r="F41" s="6"/>
      <c r="G41" s="6"/>
      <c r="H41" s="6"/>
      <c r="I41" s="6"/>
      <c r="J41" s="6"/>
      <c r="K41" s="6" t="s">
        <v>59</v>
      </c>
      <c r="L41" s="6"/>
      <c r="M41" s="6">
        <f ca="1">+D16*SUM(H20:H22)</f>
        <v>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outlineLevel="1" x14ac:dyDescent="0.25">
      <c r="A42" s="6" t="s">
        <v>60</v>
      </c>
      <c r="B42" s="6"/>
      <c r="C42" s="7"/>
      <c r="D42" s="48">
        <f>+'Target Model'!O90+'Target Model'!O93</f>
        <v>16801.075268817203</v>
      </c>
      <c r="E42" s="6"/>
      <c r="F42" s="6"/>
      <c r="G42" s="6"/>
      <c r="H42" s="6"/>
      <c r="I42" s="6"/>
      <c r="J42" s="6"/>
      <c r="K42" s="6" t="s">
        <v>61</v>
      </c>
      <c r="L42" s="6"/>
      <c r="M42" s="6">
        <f ca="1">+D15*M38</f>
        <v>14921.25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outlineLevel="1" x14ac:dyDescent="0.25">
      <c r="A43" s="6" t="s">
        <v>62</v>
      </c>
      <c r="B43" s="6"/>
      <c r="C43" s="7"/>
      <c r="D43" s="48">
        <f>+'Target Model'!O81</f>
        <v>77532.336725768415</v>
      </c>
      <c r="E43" s="6"/>
      <c r="F43" s="6"/>
      <c r="G43" s="6"/>
      <c r="H43" s="6"/>
      <c r="I43" s="6"/>
      <c r="J43" s="6"/>
      <c r="K43" s="6" t="s">
        <v>27</v>
      </c>
      <c r="L43" s="6"/>
      <c r="M43" s="6">
        <f>+D17</f>
        <v>2000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outlineLevel="1" x14ac:dyDescent="0.25">
      <c r="A44" s="35" t="s">
        <v>63</v>
      </c>
      <c r="B44" s="35"/>
      <c r="C44" s="49"/>
      <c r="D44" s="35">
        <f ca="1">+D41+D42-D43</f>
        <v>436643.73854304879</v>
      </c>
      <c r="E44" s="6"/>
      <c r="F44" s="35" t="s">
        <v>64</v>
      </c>
      <c r="G44" s="35"/>
      <c r="H44" s="35"/>
      <c r="I44" s="26">
        <f ca="1">+SUM(I37:I43)</f>
        <v>544296.25</v>
      </c>
      <c r="J44" s="6"/>
      <c r="K44" s="35" t="s">
        <v>65</v>
      </c>
      <c r="L44" s="35"/>
      <c r="M44" s="35">
        <f ca="1">SUM(M37:M43)</f>
        <v>544296.25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outlineLevel="1" x14ac:dyDescent="0.25">
      <c r="A45" s="6"/>
      <c r="B45" s="6"/>
      <c r="C45" s="7"/>
      <c r="D45" s="6"/>
      <c r="E45" s="6"/>
      <c r="F45" s="6"/>
      <c r="G45" s="6"/>
      <c r="H45" s="6"/>
      <c r="I45" s="50" t="s">
        <v>66</v>
      </c>
      <c r="J45" s="6"/>
      <c r="K45" s="6"/>
      <c r="L45" s="6"/>
      <c r="M45" s="50" t="s">
        <v>66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outlineLevel="1" x14ac:dyDescent="0.25">
      <c r="A46" s="6"/>
      <c r="B46" s="6"/>
      <c r="C46" s="7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outlineLevel="1" x14ac:dyDescent="0.25">
      <c r="A47" s="6"/>
      <c r="B47" s="6"/>
      <c r="C47" s="7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outlineLevel="1" x14ac:dyDescent="0.25">
      <c r="A48" s="12" t="s">
        <v>67</v>
      </c>
      <c r="B48" s="12"/>
      <c r="C48" s="5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outlineLevel="1" x14ac:dyDescent="0.25">
      <c r="A49" s="25" t="s">
        <v>68</v>
      </c>
      <c r="B49" s="6"/>
      <c r="C49" s="7"/>
      <c r="D49" s="6" t="s">
        <v>69</v>
      </c>
      <c r="E49" s="23" t="s">
        <v>70</v>
      </c>
      <c r="F49" s="23" t="s">
        <v>71</v>
      </c>
      <c r="G49" s="6"/>
      <c r="H49" s="6"/>
      <c r="I49" s="25" t="s">
        <v>72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outlineLevel="1" x14ac:dyDescent="0.25">
      <c r="A50" s="26" t="s">
        <v>73</v>
      </c>
      <c r="B50" s="26"/>
      <c r="C50" s="45"/>
      <c r="D50" s="52">
        <f>+'Target Model'!O84</f>
        <v>78369.434851772618</v>
      </c>
      <c r="E50" s="53"/>
      <c r="F50" s="26">
        <f t="shared" ref="F50:F51" si="6">+E50-D50</f>
        <v>-78369.434851772618</v>
      </c>
      <c r="G50" s="6"/>
      <c r="H50" s="6"/>
      <c r="I50" s="26" t="s">
        <v>74</v>
      </c>
      <c r="J50" s="26"/>
      <c r="K50" s="26"/>
      <c r="L50" s="26"/>
      <c r="M50" s="26">
        <f ca="1">+D41</f>
        <v>497375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outlineLevel="1" x14ac:dyDescent="0.25">
      <c r="A51" s="6" t="s">
        <v>75</v>
      </c>
      <c r="B51" s="6"/>
      <c r="C51" s="7"/>
      <c r="D51" s="48">
        <f>+'Target Model'!O85</f>
        <v>21786.819556451614</v>
      </c>
      <c r="E51" s="19"/>
      <c r="F51" s="6">
        <f t="shared" si="6"/>
        <v>-21786.819556451614</v>
      </c>
      <c r="G51" s="6"/>
      <c r="H51" s="6"/>
      <c r="I51" s="6" t="s">
        <v>76</v>
      </c>
      <c r="J51" s="6"/>
      <c r="K51" s="6"/>
      <c r="L51" s="6"/>
      <c r="M51" s="48">
        <f>+'Target Model'!O87-'Target Model'!O94</f>
        <v>83098.886292604235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outlineLevel="1" x14ac:dyDescent="0.25">
      <c r="A52" s="6" t="s">
        <v>77</v>
      </c>
      <c r="B52" s="6"/>
      <c r="C52" s="7"/>
      <c r="D52" s="48"/>
      <c r="E52" s="6"/>
      <c r="F52" s="6"/>
      <c r="G52" s="6"/>
      <c r="H52" s="6"/>
      <c r="I52" s="26" t="s">
        <v>78</v>
      </c>
      <c r="J52" s="26"/>
      <c r="K52" s="26"/>
      <c r="L52" s="26"/>
      <c r="M52" s="26">
        <f ca="1">+M50-M51</f>
        <v>414276.11370739574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outlineLevel="1" x14ac:dyDescent="0.25">
      <c r="A53" s="26" t="s">
        <v>79</v>
      </c>
      <c r="B53" s="26"/>
      <c r="C53" s="45"/>
      <c r="D53" s="26">
        <f t="shared" ref="D53:F53" si="7">+SUM(D50:D52)</f>
        <v>100156.25440822422</v>
      </c>
      <c r="E53" s="26">
        <f t="shared" si="7"/>
        <v>0</v>
      </c>
      <c r="F53" s="26">
        <f t="shared" si="7"/>
        <v>-100156.25440822422</v>
      </c>
      <c r="G53" s="6"/>
      <c r="H53" s="6"/>
      <c r="I53" s="6" t="s">
        <v>80</v>
      </c>
      <c r="J53" s="6"/>
      <c r="K53" s="6"/>
      <c r="L53" s="6"/>
      <c r="M53" s="19">
        <v>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outlineLevel="1" x14ac:dyDescent="0.25">
      <c r="A54" s="6"/>
      <c r="B54" s="6"/>
      <c r="C54" s="7"/>
      <c r="D54" s="6"/>
      <c r="E54" s="6"/>
      <c r="F54" s="6"/>
      <c r="G54" s="6"/>
      <c r="H54" s="6"/>
      <c r="I54" s="6" t="s">
        <v>81</v>
      </c>
      <c r="J54" s="6"/>
      <c r="K54" s="6"/>
      <c r="L54" s="6"/>
      <c r="M54" s="6">
        <f>+F53</f>
        <v>-100156.25440822422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outlineLevel="1" x14ac:dyDescent="0.25">
      <c r="A55" s="6"/>
      <c r="B55" s="6"/>
      <c r="C55" s="7"/>
      <c r="D55" s="6"/>
      <c r="E55" s="6"/>
      <c r="F55" s="6"/>
      <c r="G55" s="6"/>
      <c r="H55" s="6"/>
      <c r="I55" s="26" t="s">
        <v>82</v>
      </c>
      <c r="J55" s="26"/>
      <c r="K55" s="26"/>
      <c r="L55" s="26"/>
      <c r="M55" s="26">
        <f ca="1">+M52-M54</f>
        <v>514432.36811561999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outlineLevel="1" x14ac:dyDescent="0.25">
      <c r="A56" s="6"/>
      <c r="B56" s="6"/>
      <c r="C56" s="7"/>
      <c r="D56" s="6"/>
      <c r="E56" s="6"/>
      <c r="F56" s="6"/>
      <c r="G56" s="6"/>
      <c r="H56" s="6"/>
      <c r="I56" s="35" t="s">
        <v>83</v>
      </c>
      <c r="J56" s="35"/>
      <c r="K56" s="35"/>
      <c r="L56" s="35"/>
      <c r="M56" s="35">
        <f ca="1">+M55</f>
        <v>514432.36811561999</v>
      </c>
      <c r="N56" s="50" t="s">
        <v>84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outlineLevel="1" x14ac:dyDescent="0.25">
      <c r="A57" s="6"/>
      <c r="B57" s="6"/>
      <c r="C57" s="7"/>
      <c r="D57" s="6"/>
      <c r="E57" s="6"/>
      <c r="F57" s="6"/>
      <c r="G57" s="6"/>
      <c r="H57" s="6"/>
      <c r="I57" s="25"/>
      <c r="J57" s="25"/>
      <c r="K57" s="25"/>
      <c r="L57" s="25"/>
      <c r="M57" s="2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x14ac:dyDescent="0.25">
      <c r="A58" s="6"/>
      <c r="B58" s="6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1" x14ac:dyDescent="0.35">
      <c r="A59" s="9" t="s">
        <v>85</v>
      </c>
      <c r="B59" s="10"/>
      <c r="C59" s="1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outlineLevel="1" x14ac:dyDescent="0.25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outlineLevel="1" x14ac:dyDescent="0.25">
      <c r="A61" s="12" t="s">
        <v>86</v>
      </c>
      <c r="B61" s="12"/>
      <c r="C61" s="5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outlineLevel="1" x14ac:dyDescent="0.25">
      <c r="A62" s="50" t="s">
        <v>87</v>
      </c>
      <c r="B62" s="50"/>
      <c r="C62" s="54"/>
      <c r="D62" s="55">
        <v>1</v>
      </c>
      <c r="E62" s="50">
        <f t="shared" ref="E62:M62" si="8">D62+1</f>
        <v>2</v>
      </c>
      <c r="F62" s="50">
        <f t="shared" si="8"/>
        <v>3</v>
      </c>
      <c r="G62" s="50">
        <f t="shared" si="8"/>
        <v>4</v>
      </c>
      <c r="H62" s="50">
        <f t="shared" si="8"/>
        <v>5</v>
      </c>
      <c r="I62" s="50">
        <f t="shared" si="8"/>
        <v>6</v>
      </c>
      <c r="J62" s="50">
        <f t="shared" si="8"/>
        <v>7</v>
      </c>
      <c r="K62" s="50">
        <f t="shared" si="8"/>
        <v>8</v>
      </c>
      <c r="L62" s="50">
        <f t="shared" si="8"/>
        <v>9</v>
      </c>
      <c r="M62" s="50">
        <f t="shared" si="8"/>
        <v>10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outlineLevel="1" x14ac:dyDescent="0.25">
      <c r="A63" s="6"/>
      <c r="B63" s="6"/>
      <c r="C63" s="7"/>
      <c r="D63" s="56" t="s">
        <v>88</v>
      </c>
      <c r="E63" s="56" t="s">
        <v>89</v>
      </c>
      <c r="F63" s="56" t="s">
        <v>70</v>
      </c>
      <c r="G63" s="56" t="s">
        <v>90</v>
      </c>
      <c r="H63" s="56" t="s">
        <v>91</v>
      </c>
      <c r="I63" s="56" t="s">
        <v>28</v>
      </c>
      <c r="J63" s="56" t="s">
        <v>28</v>
      </c>
      <c r="K63" s="56" t="s">
        <v>28</v>
      </c>
      <c r="L63" s="56" t="s">
        <v>92</v>
      </c>
      <c r="M63" s="56" t="s">
        <v>93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outlineLevel="1" x14ac:dyDescent="0.25">
      <c r="A64" s="6"/>
      <c r="B64" s="6"/>
      <c r="C64" s="7"/>
      <c r="D64" s="57">
        <f>+'Acquirer Model'!O4</f>
        <v>45838</v>
      </c>
      <c r="E64" s="57">
        <f>+'Target Model'!O4</f>
        <v>45838</v>
      </c>
      <c r="F64" s="26"/>
      <c r="G64" s="26"/>
      <c r="H64" s="58" t="s">
        <v>44</v>
      </c>
      <c r="I64" s="58" t="s">
        <v>94</v>
      </c>
      <c r="J64" s="58" t="s">
        <v>95</v>
      </c>
      <c r="K64" s="58" t="s">
        <v>96</v>
      </c>
      <c r="L64" s="26"/>
      <c r="M64" s="59">
        <f>+D10</f>
        <v>45838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outlineLevel="1" x14ac:dyDescent="0.25">
      <c r="A65" s="25" t="s">
        <v>97</v>
      </c>
      <c r="B65" s="6"/>
      <c r="C65" s="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outlineLevel="1" x14ac:dyDescent="0.25">
      <c r="A66" s="6" t="s">
        <v>52</v>
      </c>
      <c r="B66" s="6"/>
      <c r="C66" s="6"/>
      <c r="D66" s="48">
        <f>+'Acquirer Model'!O81</f>
        <v>147788.27225977054</v>
      </c>
      <c r="E66" s="48">
        <f>+'Target Model'!O81</f>
        <v>77532.336725768415</v>
      </c>
      <c r="F66" s="39"/>
      <c r="G66" s="6">
        <f t="shared" ref="G66:G68" si="9">+SUM(E66:F66)</f>
        <v>77532.336725768415</v>
      </c>
      <c r="H66" s="39">
        <f ca="1">-M37</f>
        <v>0</v>
      </c>
      <c r="I66" s="39">
        <f ca="1">+I39</f>
        <v>0</v>
      </c>
      <c r="J66" s="39">
        <f ca="1">-SUM(M41:M43)</f>
        <v>-16921.25</v>
      </c>
      <c r="K66" s="39">
        <f>-SUM(M39:M40)</f>
        <v>-30000</v>
      </c>
      <c r="L66" s="6">
        <f t="shared" ref="L66:L68" ca="1" si="10">+SUM(G66:K66)</f>
        <v>30611.086725768415</v>
      </c>
      <c r="M66" s="6">
        <f t="shared" ref="M66:M68" ca="1" si="11">+L66+D66</f>
        <v>178399.35898553894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outlineLevel="1" x14ac:dyDescent="0.25">
      <c r="A67" s="6" t="s">
        <v>98</v>
      </c>
      <c r="B67" s="6"/>
      <c r="C67" s="6"/>
      <c r="D67" s="48">
        <f>+'Acquirer Model'!O82</f>
        <v>8246.6453038674044</v>
      </c>
      <c r="E67" s="48">
        <f>+'Target Model'!O82</f>
        <v>344.22726676808315</v>
      </c>
      <c r="F67" s="39"/>
      <c r="G67" s="6">
        <f t="shared" si="9"/>
        <v>344.22726676808315</v>
      </c>
      <c r="H67" s="39"/>
      <c r="I67" s="39"/>
      <c r="J67" s="39"/>
      <c r="K67" s="39"/>
      <c r="L67" s="6">
        <f t="shared" si="10"/>
        <v>344.22726676808315</v>
      </c>
      <c r="M67" s="6">
        <f t="shared" si="11"/>
        <v>8590.8725706354871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outlineLevel="1" x14ac:dyDescent="0.25">
      <c r="A68" s="6" t="s">
        <v>99</v>
      </c>
      <c r="B68" s="6"/>
      <c r="C68" s="6"/>
      <c r="D68" s="48">
        <f>+'Acquirer Model'!O83</f>
        <v>15393.737900552487</v>
      </c>
      <c r="E68" s="48">
        <f>+'Target Model'!O83</f>
        <v>492.87085923611897</v>
      </c>
      <c r="F68" s="39">
        <f>+F50</f>
        <v>-78369.434851772618</v>
      </c>
      <c r="G68" s="6">
        <f t="shared" si="9"/>
        <v>-77876.563992536496</v>
      </c>
      <c r="H68" s="39"/>
      <c r="I68" s="39"/>
      <c r="J68" s="39"/>
      <c r="K68" s="39"/>
      <c r="L68" s="6">
        <f t="shared" si="10"/>
        <v>-77876.563992536496</v>
      </c>
      <c r="M68" s="6">
        <f t="shared" si="11"/>
        <v>-62482.82609198401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outlineLevel="1" x14ac:dyDescent="0.25">
      <c r="A69" s="35" t="s">
        <v>100</v>
      </c>
      <c r="B69" s="35"/>
      <c r="C69" s="35"/>
      <c r="D69" s="35">
        <f t="shared" ref="D69:E69" si="12">SUM(D66:D68)</f>
        <v>171428.65546419044</v>
      </c>
      <c r="E69" s="35">
        <f t="shared" si="12"/>
        <v>78369.434851772618</v>
      </c>
      <c r="F69" s="60"/>
      <c r="G69" s="35"/>
      <c r="H69" s="60"/>
      <c r="I69" s="60"/>
      <c r="J69" s="60"/>
      <c r="K69" s="60"/>
      <c r="L69" s="35">
        <f t="shared" ref="L69:M69" ca="1" si="13">SUM(L66:L68)</f>
        <v>-46921.25</v>
      </c>
      <c r="M69" s="35">
        <f t="shared" ca="1" si="13"/>
        <v>124507.40546419042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outlineLevel="1" x14ac:dyDescent="0.25">
      <c r="A70" s="6" t="s">
        <v>101</v>
      </c>
      <c r="B70" s="6"/>
      <c r="C70" s="6"/>
      <c r="D70" s="48">
        <f>+'Acquirer Model'!O85</f>
        <v>41268.945</v>
      </c>
      <c r="E70" s="48">
        <f>+'Target Model'!O85</f>
        <v>21786.819556451614</v>
      </c>
      <c r="F70" s="39">
        <f>+F51</f>
        <v>-21786.819556451614</v>
      </c>
      <c r="G70" s="6">
        <f t="shared" ref="G70:G71" si="14">+SUM(E70:F70)</f>
        <v>0</v>
      </c>
      <c r="H70" s="39"/>
      <c r="I70" s="39"/>
      <c r="J70" s="39"/>
      <c r="K70" s="39"/>
      <c r="L70" s="6">
        <f t="shared" ref="L70:L71" si="15">+SUM(G70:K70)</f>
        <v>0</v>
      </c>
      <c r="M70" s="6">
        <f t="shared" ref="M70:M71" si="16">+L70+D70</f>
        <v>41268.945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outlineLevel="1" x14ac:dyDescent="0.25">
      <c r="A71" s="6" t="s">
        <v>102</v>
      </c>
      <c r="B71" s="6"/>
      <c r="C71" s="6"/>
      <c r="D71" s="48">
        <f>+'Acquirer Model'!O86</f>
        <v>0</v>
      </c>
      <c r="E71" s="48">
        <f>+'Target Model'!O86</f>
        <v>0</v>
      </c>
      <c r="F71" s="39"/>
      <c r="G71" s="6">
        <f t="shared" si="14"/>
        <v>0</v>
      </c>
      <c r="H71" s="39">
        <f ca="1">+M56</f>
        <v>514432.36811561999</v>
      </c>
      <c r="I71" s="39"/>
      <c r="J71" s="39"/>
      <c r="K71" s="39"/>
      <c r="L71" s="6">
        <f t="shared" ca="1" si="15"/>
        <v>514432.36811561999</v>
      </c>
      <c r="M71" s="6">
        <f t="shared" ca="1" si="16"/>
        <v>514432.36811561999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outlineLevel="1" x14ac:dyDescent="0.25">
      <c r="A72" s="61" t="s">
        <v>103</v>
      </c>
      <c r="B72" s="61"/>
      <c r="C72" s="61"/>
      <c r="D72" s="61">
        <f t="shared" ref="D72:E72" si="17">+D69+D70+D71</f>
        <v>212697.60046419044</v>
      </c>
      <c r="E72" s="61">
        <f t="shared" si="17"/>
        <v>100156.25440822422</v>
      </c>
      <c r="F72" s="62"/>
      <c r="G72" s="61"/>
      <c r="H72" s="62"/>
      <c r="I72" s="62"/>
      <c r="J72" s="62"/>
      <c r="K72" s="62"/>
      <c r="L72" s="61">
        <f t="shared" ref="L72:M72" ca="1" si="18">+L69+L70+L71</f>
        <v>467511.11811561999</v>
      </c>
      <c r="M72" s="61">
        <f t="shared" ca="1" si="18"/>
        <v>680208.71857981035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outlineLevel="1" x14ac:dyDescent="0.25">
      <c r="A73" s="25"/>
      <c r="B73" s="25"/>
      <c r="C73" s="25"/>
      <c r="D73" s="25"/>
      <c r="E73" s="25"/>
      <c r="F73" s="63"/>
      <c r="G73" s="25"/>
      <c r="H73" s="63"/>
      <c r="I73" s="63"/>
      <c r="J73" s="63"/>
      <c r="K73" s="63"/>
      <c r="L73" s="25"/>
      <c r="M73" s="2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outlineLevel="1" x14ac:dyDescent="0.25">
      <c r="A74" s="25" t="s">
        <v>104</v>
      </c>
      <c r="B74" s="25"/>
      <c r="C74" s="25"/>
      <c r="D74" s="25"/>
      <c r="E74" s="25"/>
      <c r="F74" s="63"/>
      <c r="G74" s="25"/>
      <c r="H74" s="63"/>
      <c r="I74" s="63"/>
      <c r="J74" s="63"/>
      <c r="K74" s="63"/>
      <c r="L74" s="25"/>
      <c r="M74" s="2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outlineLevel="1" x14ac:dyDescent="0.25">
      <c r="A75" s="6" t="s">
        <v>105</v>
      </c>
      <c r="B75" s="6"/>
      <c r="C75" s="6"/>
      <c r="D75" s="48">
        <f>+'Acquirer Model'!O90</f>
        <v>0</v>
      </c>
      <c r="E75" s="48"/>
      <c r="F75" s="39"/>
      <c r="G75" s="6"/>
      <c r="H75" s="39"/>
      <c r="I75" s="39"/>
      <c r="J75" s="39"/>
      <c r="K75" s="3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outlineLevel="1" x14ac:dyDescent="0.25">
      <c r="A76" s="6" t="s">
        <v>106</v>
      </c>
      <c r="B76" s="6"/>
      <c r="C76" s="6"/>
      <c r="D76" s="48">
        <f>+'Acquirer Model'!O91</f>
        <v>7119.6037790055252</v>
      </c>
      <c r="E76" s="48">
        <f>+'Target Model'!O91</f>
        <v>256.29284680278187</v>
      </c>
      <c r="F76" s="39"/>
      <c r="G76" s="6">
        <f>+SUM(E76:F76)</f>
        <v>256.29284680278187</v>
      </c>
      <c r="H76" s="39"/>
      <c r="I76" s="39"/>
      <c r="J76" s="39"/>
      <c r="K76" s="39"/>
      <c r="L76" s="6">
        <f>+SUM(G76:K76)</f>
        <v>256.29284680278187</v>
      </c>
      <c r="M76" s="6">
        <f>+L76+D76</f>
        <v>7375.8966258083074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outlineLevel="1" x14ac:dyDescent="0.25">
      <c r="A77" s="35" t="s">
        <v>107</v>
      </c>
      <c r="B77" s="35"/>
      <c r="C77" s="35"/>
      <c r="D77" s="35">
        <f t="shared" ref="D77:E77" si="19">SUM(D75:D76)</f>
        <v>7119.6037790055252</v>
      </c>
      <c r="E77" s="35">
        <f t="shared" si="19"/>
        <v>256.29284680278187</v>
      </c>
      <c r="F77" s="60"/>
      <c r="G77" s="35"/>
      <c r="H77" s="60"/>
      <c r="I77" s="60"/>
      <c r="J77" s="60"/>
      <c r="K77" s="60"/>
      <c r="L77" s="35">
        <f t="shared" ref="L77:M77" si="20">SUM(L75:L76)</f>
        <v>256.29284680278187</v>
      </c>
      <c r="M77" s="35">
        <f t="shared" si="20"/>
        <v>7375.8966258083074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outlineLevel="1" x14ac:dyDescent="0.25">
      <c r="A78" s="6" t="s">
        <v>108</v>
      </c>
      <c r="B78" s="6"/>
      <c r="C78" s="6"/>
      <c r="D78" s="48">
        <f>+'Acquirer Model'!O93</f>
        <v>30000</v>
      </c>
      <c r="E78" s="48">
        <f>+'Target Model'!O93</f>
        <v>16801.075268817203</v>
      </c>
      <c r="F78" s="39"/>
      <c r="G78" s="6">
        <f>+SUM(E78:F78)</f>
        <v>16801.075268817203</v>
      </c>
      <c r="H78" s="39"/>
      <c r="I78" s="39">
        <f ca="1">+I39</f>
        <v>0</v>
      </c>
      <c r="J78" s="39"/>
      <c r="K78" s="39">
        <f>+K66</f>
        <v>-30000</v>
      </c>
      <c r="L78" s="6">
        <f ca="1">+SUM(G78:K78)</f>
        <v>-13198.924731182797</v>
      </c>
      <c r="M78" s="6">
        <f ca="1">+L78+D78</f>
        <v>16801.075268817203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outlineLevel="1" x14ac:dyDescent="0.25">
      <c r="A79" s="35" t="s">
        <v>109</v>
      </c>
      <c r="B79" s="35"/>
      <c r="C79" s="35"/>
      <c r="D79" s="35">
        <f t="shared" ref="D79:E79" si="21">+D78+D77</f>
        <v>37119.603779005527</v>
      </c>
      <c r="E79" s="35">
        <f t="shared" si="21"/>
        <v>17057.368115619985</v>
      </c>
      <c r="F79" s="60"/>
      <c r="G79" s="35"/>
      <c r="H79" s="60"/>
      <c r="I79" s="60"/>
      <c r="J79" s="60"/>
      <c r="K79" s="60"/>
      <c r="L79" s="35">
        <f t="shared" ref="L79:M79" ca="1" si="22">+L78+L77</f>
        <v>-12942.631884380015</v>
      </c>
      <c r="M79" s="35">
        <f t="shared" ca="1" si="22"/>
        <v>24176.971894625509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outlineLevel="1" x14ac:dyDescent="0.25">
      <c r="A80" s="25" t="s">
        <v>110</v>
      </c>
      <c r="B80" s="25"/>
      <c r="C80" s="25"/>
      <c r="D80" s="25"/>
      <c r="E80" s="25"/>
      <c r="F80" s="63"/>
      <c r="G80" s="25"/>
      <c r="H80" s="63"/>
      <c r="I80" s="63"/>
      <c r="J80" s="63"/>
      <c r="K80" s="63"/>
      <c r="L80" s="25"/>
      <c r="M80" s="2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outlineLevel="1" x14ac:dyDescent="0.25">
      <c r="A81" s="6" t="s">
        <v>111</v>
      </c>
      <c r="B81" s="6"/>
      <c r="C81" s="6"/>
      <c r="D81" s="48">
        <f>+'Acquirer Model'!O96</f>
        <v>70000</v>
      </c>
      <c r="E81" s="48">
        <f>+'Target Model'!O96</f>
        <v>39202.508960573476</v>
      </c>
      <c r="F81" s="39"/>
      <c r="G81" s="6">
        <f t="shared" ref="G81:G82" si="23">+SUM(E81:F81)</f>
        <v>39202.508960573476</v>
      </c>
      <c r="H81" s="39">
        <f t="shared" ref="H81:H82" si="24">-G81</f>
        <v>-39202.508960573476</v>
      </c>
      <c r="I81" s="39">
        <f ca="1">+I38</f>
        <v>497375</v>
      </c>
      <c r="J81" s="39"/>
      <c r="K81" s="39"/>
      <c r="L81" s="6">
        <f t="shared" ref="L81:L82" ca="1" si="25">+SUM(G81:K81)</f>
        <v>497375</v>
      </c>
      <c r="M81" s="6">
        <f t="shared" ref="M81:M82" ca="1" si="26">+L81+D81</f>
        <v>567375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outlineLevel="1" x14ac:dyDescent="0.25">
      <c r="A82" s="6" t="s">
        <v>112</v>
      </c>
      <c r="B82" s="6"/>
      <c r="C82" s="6"/>
      <c r="D82" s="48">
        <f>+'Acquirer Model'!O97</f>
        <v>105577.9966851849</v>
      </c>
      <c r="E82" s="48">
        <f>+'Target Model'!O97</f>
        <v>43896.911931313916</v>
      </c>
      <c r="F82" s="39"/>
      <c r="G82" s="6">
        <f t="shared" si="23"/>
        <v>43896.911931313916</v>
      </c>
      <c r="H82" s="39">
        <f t="shared" si="24"/>
        <v>-43896.911931313916</v>
      </c>
      <c r="I82" s="39"/>
      <c r="J82" s="39">
        <f ca="1">+J66</f>
        <v>-16921.25</v>
      </c>
      <c r="K82" s="39"/>
      <c r="L82" s="6">
        <f t="shared" ca="1" si="25"/>
        <v>-16921.25</v>
      </c>
      <c r="M82" s="6">
        <f t="shared" ca="1" si="26"/>
        <v>88656.746685184902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outlineLevel="1" x14ac:dyDescent="0.25">
      <c r="A83" s="64" t="s">
        <v>110</v>
      </c>
      <c r="B83" s="64"/>
      <c r="C83" s="64"/>
      <c r="D83" s="64">
        <f t="shared" ref="D83:E83" si="27">SUM(D81:D82)</f>
        <v>175577.99668518489</v>
      </c>
      <c r="E83" s="64">
        <f t="shared" si="27"/>
        <v>83099.420891887392</v>
      </c>
      <c r="F83" s="65"/>
      <c r="G83" s="64"/>
      <c r="H83" s="65"/>
      <c r="I83" s="65"/>
      <c r="J83" s="65"/>
      <c r="K83" s="65"/>
      <c r="L83" s="64">
        <f t="shared" ref="L83:M83" ca="1" si="28">SUM(L81:L82)</f>
        <v>480453.75</v>
      </c>
      <c r="M83" s="64">
        <f t="shared" ca="1" si="28"/>
        <v>656031.74668518489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outlineLevel="1" x14ac:dyDescent="0.25">
      <c r="A84" s="61" t="s">
        <v>113</v>
      </c>
      <c r="B84" s="61"/>
      <c r="C84" s="61"/>
      <c r="D84" s="61">
        <f t="shared" ref="D84:E84" si="29">+D83+D79</f>
        <v>212697.60046419041</v>
      </c>
      <c r="E84" s="61">
        <f t="shared" si="29"/>
        <v>100156.78900750738</v>
      </c>
      <c r="F84" s="62"/>
      <c r="G84" s="61"/>
      <c r="H84" s="62"/>
      <c r="I84" s="62"/>
      <c r="J84" s="62"/>
      <c r="K84" s="62"/>
      <c r="L84" s="61">
        <f t="shared" ref="L84:M84" ca="1" si="30">+L83+L79</f>
        <v>467511.11811561999</v>
      </c>
      <c r="M84" s="61">
        <f t="shared" ca="1" si="30"/>
        <v>680208.71857981035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outlineLevel="1" x14ac:dyDescent="0.25">
      <c r="A85" s="6"/>
      <c r="B85" s="6"/>
      <c r="C85" s="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outlineLevel="1" x14ac:dyDescent="0.25">
      <c r="A86" s="50" t="s">
        <v>114</v>
      </c>
      <c r="B86" s="50"/>
      <c r="C86" s="54"/>
      <c r="D86" s="66">
        <f t="shared" ref="D86:E86" si="31">D84-D72</f>
        <v>0</v>
      </c>
      <c r="E86" s="66">
        <f t="shared" si="31"/>
        <v>0.53459928315714933</v>
      </c>
      <c r="F86" s="50"/>
      <c r="G86" s="50"/>
      <c r="H86" s="50"/>
      <c r="I86" s="50"/>
      <c r="J86" s="6"/>
      <c r="K86" s="6"/>
      <c r="L86" s="66">
        <f t="shared" ref="L86:M86" ca="1" si="32">L84-L72</f>
        <v>0</v>
      </c>
      <c r="M86" s="66">
        <f t="shared" ca="1" si="32"/>
        <v>0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outlineLevel="1" x14ac:dyDescent="0.25">
      <c r="A87" s="6"/>
      <c r="B87" s="6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x14ac:dyDescent="0.25">
      <c r="A88" s="6"/>
      <c r="B88" s="6"/>
      <c r="C88" s="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1" x14ac:dyDescent="0.35">
      <c r="A89" s="9" t="s">
        <v>115</v>
      </c>
      <c r="B89" s="10"/>
      <c r="C89" s="11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outlineLevel="1" x14ac:dyDescent="0.25">
      <c r="A90" s="6"/>
      <c r="B90" s="6"/>
      <c r="C90" s="7"/>
      <c r="D90" s="6"/>
      <c r="E90" s="6"/>
      <c r="F90" s="6"/>
      <c r="G90" s="6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outlineLevel="1" x14ac:dyDescent="0.3">
      <c r="A91" s="6"/>
      <c r="B91" s="68"/>
      <c r="C91" s="7"/>
      <c r="D91" s="6"/>
      <c r="E91" s="6"/>
      <c r="F91" s="6"/>
      <c r="G91" s="6"/>
      <c r="H91" s="6"/>
      <c r="I91" s="69">
        <f>+'Pro Forma Model'!J2</f>
        <v>2026</v>
      </c>
      <c r="J91" s="69">
        <f>+'Pro Forma Model'!K2</f>
        <v>2027</v>
      </c>
      <c r="K91" s="69">
        <f>+'Pro Forma Model'!L2</f>
        <v>2028</v>
      </c>
      <c r="L91" s="69">
        <f>+'Pro Forma Model'!M2</f>
        <v>2029</v>
      </c>
      <c r="M91" s="69">
        <f>+'Pro Forma Model'!N2</f>
        <v>2030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outlineLevel="1" x14ac:dyDescent="0.25">
      <c r="A92" s="26"/>
      <c r="B92" s="26"/>
      <c r="C92" s="45"/>
      <c r="D92" s="26"/>
      <c r="E92" s="26"/>
      <c r="F92" s="26"/>
      <c r="G92" s="70"/>
      <c r="H92" s="26"/>
      <c r="I92" s="26"/>
      <c r="J92" s="26"/>
      <c r="K92" s="26"/>
      <c r="L92" s="26"/>
      <c r="M92" s="2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outlineLevel="1" x14ac:dyDescent="0.25">
      <c r="A93" s="63" t="s">
        <v>116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outlineLevel="1" x14ac:dyDescent="0.25">
      <c r="A94" s="6" t="s">
        <v>117</v>
      </c>
      <c r="B94" s="6"/>
      <c r="C94" s="7"/>
      <c r="D94" s="6"/>
      <c r="E94" s="6"/>
      <c r="F94" s="6"/>
      <c r="G94" s="6"/>
      <c r="H94" s="6"/>
      <c r="I94" s="48">
        <f>+'Acquirer Model'!J75</f>
        <v>33098.601599999995</v>
      </c>
      <c r="J94" s="48">
        <f>+'Acquirer Model'!K75</f>
        <v>37484.311017600005</v>
      </c>
      <c r="K94" s="48">
        <f>+'Acquirer Model'!L75</f>
        <v>40290.104328768008</v>
      </c>
      <c r="L94" s="48">
        <f>+'Acquirer Model'!M75</f>
        <v>42824.292575074571</v>
      </c>
      <c r="M94" s="48">
        <f>+'Acquirer Model'!N75</f>
        <v>46787.531481800179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outlineLevel="1" x14ac:dyDescent="0.25">
      <c r="A95" s="6" t="s">
        <v>118</v>
      </c>
      <c r="B95" s="6"/>
      <c r="C95" s="7"/>
      <c r="D95" s="6"/>
      <c r="E95" s="6"/>
      <c r="F95" s="6"/>
      <c r="G95" s="6"/>
      <c r="H95" s="6"/>
      <c r="I95" s="48">
        <f>+'Target Model'!J75</f>
        <v>23909.776090949821</v>
      </c>
      <c r="J95" s="48">
        <f>+'Target Model'!K75</f>
        <v>28510.130140501788</v>
      </c>
      <c r="K95" s="48">
        <f>+'Target Model'!L75</f>
        <v>32117.515928745517</v>
      </c>
      <c r="L95" s="48">
        <f>+'Target Model'!M75</f>
        <v>35302.790093081014</v>
      </c>
      <c r="M95" s="48">
        <f>+'Target Model'!N75</f>
        <v>38427.939633260845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outlineLevel="1" x14ac:dyDescent="0.25">
      <c r="A96" s="6" t="s">
        <v>119</v>
      </c>
      <c r="B96" s="6"/>
      <c r="C96" s="7"/>
      <c r="D96" s="6"/>
      <c r="E96" s="6"/>
      <c r="F96" s="6"/>
      <c r="G96" s="6"/>
      <c r="H96" s="6"/>
      <c r="I96" s="48">
        <f ca="1">+'Pro Forma Model'!J45</f>
        <v>63511.896422697173</v>
      </c>
      <c r="J96" s="48">
        <f ca="1">+'Pro Forma Model'!K45</f>
        <v>72662.875877491053</v>
      </c>
      <c r="K96" s="48">
        <f ca="1">+'Pro Forma Model'!L45</f>
        <v>80767.990230520169</v>
      </c>
      <c r="L96" s="48">
        <f ca="1">+'Pro Forma Model'!M45</f>
        <v>86151.262557212991</v>
      </c>
      <c r="M96" s="48">
        <f ca="1">+'Pro Forma Model'!N45</f>
        <v>92373.892797240493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outlineLevel="1" x14ac:dyDescent="0.25">
      <c r="A97" s="6"/>
      <c r="B97" s="6"/>
      <c r="C97" s="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outlineLevel="1" x14ac:dyDescent="0.25">
      <c r="A98" s="6" t="s">
        <v>120</v>
      </c>
      <c r="B98" s="6"/>
      <c r="C98" s="7"/>
      <c r="D98" s="6"/>
      <c r="E98" s="6"/>
      <c r="F98" s="6"/>
      <c r="G98" s="6"/>
      <c r="H98" s="6"/>
      <c r="I98" s="6">
        <f t="shared" ref="I98:M98" si="33">+$D$22</f>
        <v>50000</v>
      </c>
      <c r="J98" s="6">
        <f t="shared" si="33"/>
        <v>50000</v>
      </c>
      <c r="K98" s="6">
        <f t="shared" si="33"/>
        <v>50000</v>
      </c>
      <c r="L98" s="6">
        <f t="shared" si="33"/>
        <v>50000</v>
      </c>
      <c r="M98" s="6">
        <f t="shared" si="33"/>
        <v>50000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outlineLevel="1" x14ac:dyDescent="0.25">
      <c r="A99" s="6" t="s">
        <v>121</v>
      </c>
      <c r="B99" s="6"/>
      <c r="C99" s="7"/>
      <c r="D99" s="6"/>
      <c r="E99" s="6"/>
      <c r="F99" s="6"/>
      <c r="G99" s="6"/>
      <c r="H99" s="6"/>
      <c r="I99" s="6">
        <f t="shared" ref="I99:M99" si="34">+$D$23</f>
        <v>25000</v>
      </c>
      <c r="J99" s="6">
        <f t="shared" si="34"/>
        <v>25000</v>
      </c>
      <c r="K99" s="6">
        <f t="shared" si="34"/>
        <v>25000</v>
      </c>
      <c r="L99" s="6">
        <f t="shared" si="34"/>
        <v>25000</v>
      </c>
      <c r="M99" s="6">
        <f t="shared" si="34"/>
        <v>25000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outlineLevel="1" x14ac:dyDescent="0.25">
      <c r="A100" s="6" t="s">
        <v>122</v>
      </c>
      <c r="B100" s="6"/>
      <c r="C100" s="7"/>
      <c r="D100" s="6"/>
      <c r="E100" s="6"/>
      <c r="F100" s="6"/>
      <c r="G100" s="6"/>
      <c r="H100" s="6"/>
      <c r="I100" s="6">
        <f t="shared" ref="I100:M100" ca="1" si="35">+$D$25</f>
        <v>92757.360842467227</v>
      </c>
      <c r="J100" s="6">
        <f t="shared" ca="1" si="35"/>
        <v>92757.360842467227</v>
      </c>
      <c r="K100" s="6">
        <f t="shared" ca="1" si="35"/>
        <v>92757.360842467227</v>
      </c>
      <c r="L100" s="6">
        <f t="shared" ca="1" si="35"/>
        <v>92757.360842467227</v>
      </c>
      <c r="M100" s="6">
        <f t="shared" ca="1" si="35"/>
        <v>92757.360842467227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outlineLevel="1" x14ac:dyDescent="0.25">
      <c r="A101" s="6"/>
      <c r="B101" s="6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outlineLevel="1" x14ac:dyDescent="0.25">
      <c r="A102" s="6" t="s">
        <v>123</v>
      </c>
      <c r="B102" s="6"/>
      <c r="C102" s="7"/>
      <c r="D102" s="6"/>
      <c r="E102" s="6"/>
      <c r="F102" s="6"/>
      <c r="G102" s="6"/>
      <c r="H102" s="6"/>
      <c r="I102" s="72">
        <f t="shared" ref="I102:M102" si="36">+I94/I98</f>
        <v>0.66197203199999988</v>
      </c>
      <c r="J102" s="72">
        <f t="shared" si="36"/>
        <v>0.74968622035200005</v>
      </c>
      <c r="K102" s="72">
        <f t="shared" si="36"/>
        <v>0.80580208657536012</v>
      </c>
      <c r="L102" s="72">
        <f t="shared" si="36"/>
        <v>0.85648585150149137</v>
      </c>
      <c r="M102" s="72">
        <f t="shared" si="36"/>
        <v>0.93575062963600353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outlineLevel="1" x14ac:dyDescent="0.25">
      <c r="A103" s="6" t="s">
        <v>124</v>
      </c>
      <c r="B103" s="6"/>
      <c r="C103" s="7"/>
      <c r="D103" s="6"/>
      <c r="E103" s="6"/>
      <c r="F103" s="6"/>
      <c r="G103" s="6"/>
      <c r="H103" s="6"/>
      <c r="I103" s="72">
        <f t="shared" ref="I103:M103" si="37">+I95/I99</f>
        <v>0.95639104363799288</v>
      </c>
      <c r="J103" s="72">
        <f t="shared" si="37"/>
        <v>1.1404052056200715</v>
      </c>
      <c r="K103" s="72">
        <f t="shared" si="37"/>
        <v>1.2847006371498206</v>
      </c>
      <c r="L103" s="72">
        <f t="shared" si="37"/>
        <v>1.4121116037232406</v>
      </c>
      <c r="M103" s="72">
        <f t="shared" si="37"/>
        <v>1.5371175853304337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outlineLevel="1" x14ac:dyDescent="0.25">
      <c r="A104" s="6" t="s">
        <v>125</v>
      </c>
      <c r="B104" s="6"/>
      <c r="C104" s="7"/>
      <c r="D104" s="6"/>
      <c r="E104" s="6"/>
      <c r="F104" s="6"/>
      <c r="G104" s="6"/>
      <c r="H104" s="6"/>
      <c r="I104" s="72">
        <f t="shared" ref="I104:M104" ca="1" si="38">+I96/I100</f>
        <v>0.68471004183227513</v>
      </c>
      <c r="J104" s="72">
        <f t="shared" ca="1" si="38"/>
        <v>0.7833650636190127</v>
      </c>
      <c r="K104" s="72">
        <f t="shared" ca="1" si="38"/>
        <v>0.87074480663255405</v>
      </c>
      <c r="L104" s="72">
        <f t="shared" ca="1" si="38"/>
        <v>0.92878087274956445</v>
      </c>
      <c r="M104" s="72">
        <f t="shared" ca="1" si="38"/>
        <v>0.99586590172743283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outlineLevel="1" x14ac:dyDescent="0.25">
      <c r="A105" s="6"/>
      <c r="B105" s="6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outlineLevel="1" x14ac:dyDescent="0.25">
      <c r="A106" s="73" t="s">
        <v>126</v>
      </c>
      <c r="B106" s="64"/>
      <c r="C106" s="74"/>
      <c r="D106" s="64"/>
      <c r="E106" s="64"/>
      <c r="F106" s="64"/>
      <c r="G106" s="64"/>
      <c r="H106" s="64"/>
      <c r="I106" s="75">
        <f t="shared" ref="I106:M106" ca="1" si="39">+I104/I102-1</f>
        <v>3.4348898039661124E-2</v>
      </c>
      <c r="J106" s="75">
        <f t="shared" ca="1" si="39"/>
        <v>4.4923919304798554E-2</v>
      </c>
      <c r="K106" s="75">
        <f t="shared" ca="1" si="39"/>
        <v>8.0593884204493538E-2</v>
      </c>
      <c r="L106" s="75">
        <f t="shared" ca="1" si="39"/>
        <v>8.4408891426908994E-2</v>
      </c>
      <c r="M106" s="76">
        <f t="shared" ca="1" si="39"/>
        <v>6.4242833707537583E-2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outlineLevel="1" x14ac:dyDescent="0.25">
      <c r="A107" s="6"/>
      <c r="B107" s="6"/>
      <c r="C107" s="7"/>
      <c r="D107" s="6"/>
      <c r="E107" s="6"/>
      <c r="F107" s="6"/>
      <c r="G107" s="6"/>
      <c r="H107" s="6"/>
      <c r="I107" s="77"/>
      <c r="J107" s="77"/>
      <c r="K107" s="77"/>
      <c r="L107" s="77"/>
      <c r="M107" s="7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outlineLevel="1" x14ac:dyDescent="0.25">
      <c r="A108" s="63" t="s">
        <v>127</v>
      </c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outlineLevel="1" x14ac:dyDescent="0.25">
      <c r="A109" s="6" t="s">
        <v>128</v>
      </c>
      <c r="B109" s="6"/>
      <c r="C109" s="7"/>
      <c r="D109" s="6"/>
      <c r="E109" s="6"/>
      <c r="F109" s="6"/>
      <c r="G109" s="6"/>
      <c r="H109" s="6"/>
      <c r="I109" s="48">
        <f>+'Acquirer Model'!J110</f>
        <v>38099.324112876711</v>
      </c>
      <c r="J109" s="48">
        <f>+'Acquirer Model'!K110</f>
        <v>42937.720463517806</v>
      </c>
      <c r="K109" s="48">
        <f>+'Acquirer Model'!L110</f>
        <v>48888.281031119011</v>
      </c>
      <c r="L109" s="48">
        <f>+'Acquirer Model'!M110</f>
        <v>52048.228009667699</v>
      </c>
      <c r="M109" s="48">
        <f>+'Acquirer Model'!N110</f>
        <v>57202.842683973664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outlineLevel="1" x14ac:dyDescent="0.25">
      <c r="A110" s="6" t="s">
        <v>129</v>
      </c>
      <c r="B110" s="6"/>
      <c r="C110" s="7"/>
      <c r="D110" s="6"/>
      <c r="E110" s="6"/>
      <c r="F110" s="6"/>
      <c r="G110" s="6"/>
      <c r="H110" s="6"/>
      <c r="I110" s="48">
        <f>+'Target Model'!J110</f>
        <v>28274.493033184812</v>
      </c>
      <c r="J110" s="48">
        <f>+'Target Model'!K110</f>
        <v>32190.447188054197</v>
      </c>
      <c r="K110" s="48">
        <f>+'Target Model'!L110</f>
        <v>35998.424560021434</v>
      </c>
      <c r="L110" s="48">
        <f>+'Target Model'!M110</f>
        <v>39408.640605702574</v>
      </c>
      <c r="M110" s="48">
        <f>+'Target Model'!N110</f>
        <v>42879.543661297648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outlineLevel="1" x14ac:dyDescent="0.25">
      <c r="A111" s="6" t="s">
        <v>130</v>
      </c>
      <c r="B111" s="6"/>
      <c r="C111" s="7"/>
      <c r="D111" s="6"/>
      <c r="E111" s="6"/>
      <c r="F111" s="6"/>
      <c r="G111" s="6"/>
      <c r="H111" s="6"/>
      <c r="I111" s="48">
        <f ca="1">+'Pro Forma Model'!J80</f>
        <v>66622.897114402862</v>
      </c>
      <c r="J111" s="48">
        <f ca="1">+'Pro Forma Model'!K80</f>
        <v>76983.81537563476</v>
      </c>
      <c r="K111" s="48">
        <f ca="1">+'Pro Forma Model'!L80</f>
        <v>90278.668827212736</v>
      </c>
      <c r="L111" s="48">
        <f ca="1">+'Pro Forma Model'!M80</f>
        <v>97089.764010504587</v>
      </c>
      <c r="M111" s="48">
        <f ca="1">+'Pro Forma Model'!N80</f>
        <v>105333.68438250956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outlineLevel="1" x14ac:dyDescent="0.25">
      <c r="A112" s="6"/>
      <c r="B112" s="6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outlineLevel="1" x14ac:dyDescent="0.25">
      <c r="A113" s="6" t="s">
        <v>120</v>
      </c>
      <c r="B113" s="6"/>
      <c r="C113" s="7"/>
      <c r="D113" s="6"/>
      <c r="E113" s="6"/>
      <c r="F113" s="6"/>
      <c r="G113" s="6"/>
      <c r="H113" s="6"/>
      <c r="I113" s="6">
        <f t="shared" ref="I113:M113" si="40">+$D$22</f>
        <v>50000</v>
      </c>
      <c r="J113" s="6">
        <f t="shared" si="40"/>
        <v>50000</v>
      </c>
      <c r="K113" s="6">
        <f t="shared" si="40"/>
        <v>50000</v>
      </c>
      <c r="L113" s="6">
        <f t="shared" si="40"/>
        <v>50000</v>
      </c>
      <c r="M113" s="6">
        <f t="shared" si="40"/>
        <v>50000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outlineLevel="1" x14ac:dyDescent="0.25">
      <c r="A114" s="6" t="s">
        <v>121</v>
      </c>
      <c r="B114" s="6"/>
      <c r="C114" s="7"/>
      <c r="D114" s="6"/>
      <c r="E114" s="6"/>
      <c r="F114" s="6"/>
      <c r="G114" s="6"/>
      <c r="H114" s="6"/>
      <c r="I114" s="6">
        <f t="shared" ref="I114:M114" si="41">+$D$23</f>
        <v>25000</v>
      </c>
      <c r="J114" s="6">
        <f t="shared" si="41"/>
        <v>25000</v>
      </c>
      <c r="K114" s="6">
        <f t="shared" si="41"/>
        <v>25000</v>
      </c>
      <c r="L114" s="6">
        <f t="shared" si="41"/>
        <v>25000</v>
      </c>
      <c r="M114" s="6">
        <f t="shared" si="41"/>
        <v>25000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outlineLevel="1" x14ac:dyDescent="0.25">
      <c r="A115" s="6" t="s">
        <v>122</v>
      </c>
      <c r="B115" s="6"/>
      <c r="C115" s="7"/>
      <c r="D115" s="6"/>
      <c r="E115" s="6"/>
      <c r="F115" s="6"/>
      <c r="G115" s="6"/>
      <c r="H115" s="6"/>
      <c r="I115" s="6">
        <f t="shared" ref="I115:M115" ca="1" si="42">+$D$25</f>
        <v>92757.360842467227</v>
      </c>
      <c r="J115" s="6">
        <f t="shared" ca="1" si="42"/>
        <v>92757.360842467227</v>
      </c>
      <c r="K115" s="6">
        <f t="shared" ca="1" si="42"/>
        <v>92757.360842467227</v>
      </c>
      <c r="L115" s="6">
        <f t="shared" ca="1" si="42"/>
        <v>92757.360842467227</v>
      </c>
      <c r="M115" s="6">
        <f t="shared" ca="1" si="42"/>
        <v>92757.360842467227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outlineLevel="1" x14ac:dyDescent="0.25">
      <c r="A116" s="6"/>
      <c r="B116" s="6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outlineLevel="1" x14ac:dyDescent="0.25">
      <c r="A117" s="6" t="s">
        <v>131</v>
      </c>
      <c r="B117" s="6"/>
      <c r="C117" s="7"/>
      <c r="D117" s="6"/>
      <c r="E117" s="6"/>
      <c r="F117" s="6"/>
      <c r="G117" s="6"/>
      <c r="H117" s="6"/>
      <c r="I117" s="72">
        <f t="shared" ref="I117:M117" si="43">+I109/I113</f>
        <v>0.76198648225753418</v>
      </c>
      <c r="J117" s="72">
        <f t="shared" si="43"/>
        <v>0.85875440927035607</v>
      </c>
      <c r="K117" s="72">
        <f t="shared" si="43"/>
        <v>0.97776562062238026</v>
      </c>
      <c r="L117" s="72">
        <f t="shared" si="43"/>
        <v>1.0409645601933539</v>
      </c>
      <c r="M117" s="72">
        <f t="shared" si="43"/>
        <v>1.1440568536794733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outlineLevel="1" x14ac:dyDescent="0.25">
      <c r="A118" s="6" t="s">
        <v>132</v>
      </c>
      <c r="B118" s="6"/>
      <c r="C118" s="7"/>
      <c r="D118" s="6"/>
      <c r="E118" s="6"/>
      <c r="F118" s="6"/>
      <c r="G118" s="6"/>
      <c r="H118" s="6"/>
      <c r="I118" s="72">
        <f t="shared" ref="I118:M118" si="44">+I110/I114</f>
        <v>1.1309797213273924</v>
      </c>
      <c r="J118" s="72">
        <f t="shared" si="44"/>
        <v>1.2876178875221678</v>
      </c>
      <c r="K118" s="72">
        <f t="shared" si="44"/>
        <v>1.4399369824008574</v>
      </c>
      <c r="L118" s="72">
        <f t="shared" si="44"/>
        <v>1.5763456242281029</v>
      </c>
      <c r="M118" s="72">
        <f t="shared" si="44"/>
        <v>1.7151817464519059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outlineLevel="1" x14ac:dyDescent="0.25">
      <c r="A119" s="6" t="s">
        <v>133</v>
      </c>
      <c r="B119" s="6"/>
      <c r="C119" s="7"/>
      <c r="D119" s="6"/>
      <c r="E119" s="6"/>
      <c r="F119" s="6"/>
      <c r="G119" s="6"/>
      <c r="H119" s="6"/>
      <c r="I119" s="72">
        <f t="shared" ref="I119:M119" ca="1" si="45">+I111/I115</f>
        <v>0.71824916652761006</v>
      </c>
      <c r="J119" s="72">
        <f t="shared" ca="1" si="45"/>
        <v>0.82994831543750813</v>
      </c>
      <c r="K119" s="72">
        <f t="shared" ca="1" si="45"/>
        <v>0.97327767852877867</v>
      </c>
      <c r="L119" s="72">
        <f t="shared" ca="1" si="45"/>
        <v>1.0467068395293739</v>
      </c>
      <c r="M119" s="72">
        <f t="shared" ca="1" si="45"/>
        <v>1.1355830246334961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outlineLevel="1" x14ac:dyDescent="0.25">
      <c r="A120" s="6"/>
      <c r="B120" s="6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outlineLevel="1" x14ac:dyDescent="0.25">
      <c r="A121" s="73" t="s">
        <v>126</v>
      </c>
      <c r="B121" s="64"/>
      <c r="C121" s="74"/>
      <c r="D121" s="64"/>
      <c r="E121" s="64"/>
      <c r="F121" s="64"/>
      <c r="G121" s="64"/>
      <c r="H121" s="64"/>
      <c r="I121" s="75">
        <f t="shared" ref="I121:M121" ca="1" si="46">+I119/I117-1</f>
        <v>-5.7399070388156725E-2</v>
      </c>
      <c r="J121" s="75">
        <f t="shared" ca="1" si="46"/>
        <v>-3.3544041837669458E-2</v>
      </c>
      <c r="K121" s="75">
        <f t="shared" ca="1" si="46"/>
        <v>-4.5899978470759217E-3</v>
      </c>
      <c r="L121" s="75">
        <f t="shared" ca="1" si="46"/>
        <v>5.5163062755503312E-3</v>
      </c>
      <c r="M121" s="76">
        <f t="shared" ca="1" si="46"/>
        <v>-7.40682512300328E-3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outlineLevel="1" x14ac:dyDescent="0.25">
      <c r="A122" s="6"/>
      <c r="B122" s="6"/>
      <c r="C122" s="7"/>
      <c r="D122" s="6"/>
      <c r="E122" s="6"/>
      <c r="F122" s="6"/>
      <c r="G122" s="6"/>
      <c r="H122" s="6"/>
      <c r="I122" s="77"/>
      <c r="J122" s="77"/>
      <c r="K122" s="77"/>
      <c r="L122" s="77"/>
      <c r="M122" s="7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x14ac:dyDescent="0.25">
      <c r="A123" s="6"/>
      <c r="B123" s="6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1" x14ac:dyDescent="0.35">
      <c r="A124" s="9" t="s">
        <v>134</v>
      </c>
      <c r="B124" s="10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outlineLevel="1" x14ac:dyDescent="0.25">
      <c r="A125" s="6"/>
      <c r="B125" s="6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outlineLevel="1" x14ac:dyDescent="0.25">
      <c r="A126" s="169" t="s">
        <v>135</v>
      </c>
      <c r="B126" s="170"/>
      <c r="C126" s="170"/>
      <c r="D126" s="170"/>
      <c r="E126" s="170"/>
      <c r="F126" s="171"/>
      <c r="G126" s="6"/>
      <c r="H126" s="169" t="s">
        <v>136</v>
      </c>
      <c r="I126" s="170"/>
      <c r="J126" s="170"/>
      <c r="K126" s="170"/>
      <c r="L126" s="170"/>
      <c r="M126" s="171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outlineLevel="1" x14ac:dyDescent="0.25">
      <c r="A127" s="6"/>
      <c r="B127" s="6"/>
      <c r="C127" s="6"/>
      <c r="D127" s="56" t="s">
        <v>48</v>
      </c>
      <c r="E127" s="56" t="s">
        <v>137</v>
      </c>
      <c r="F127" s="56" t="s">
        <v>138</v>
      </c>
      <c r="G127" s="6"/>
      <c r="H127" s="6"/>
      <c r="I127" s="6"/>
      <c r="J127" s="6"/>
      <c r="K127" s="56" t="s">
        <v>139</v>
      </c>
      <c r="L127" s="56" t="s">
        <v>140</v>
      </c>
      <c r="M127" s="56" t="s">
        <v>141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outlineLevel="1" x14ac:dyDescent="0.25">
      <c r="A128" s="26" t="s">
        <v>142</v>
      </c>
      <c r="B128" s="26"/>
      <c r="C128" s="45"/>
      <c r="D128" s="46">
        <f ca="1">+D34</f>
        <v>19.895</v>
      </c>
      <c r="E128" s="46">
        <f>+'M&amp;A Assumptions &amp; Analysis'!D9</f>
        <v>17.3</v>
      </c>
      <c r="F128" s="78">
        <f>+'Target Model'!C186</f>
        <v>35.99017127053142</v>
      </c>
      <c r="G128" s="6"/>
      <c r="H128" s="35" t="s">
        <v>143</v>
      </c>
      <c r="I128" s="35"/>
      <c r="J128" s="26"/>
      <c r="K128" s="79">
        <f>+'Acquirer Model'!C184</f>
        <v>1135996.2455910565</v>
      </c>
      <c r="L128" s="79">
        <f ca="1">+'Pro Forma Model'!C196</f>
        <v>2047453.5429608538</v>
      </c>
      <c r="M128" s="77">
        <f t="shared" ref="M128:M131" ca="1" si="47">+L128/K128-1</f>
        <v>0.80234182190942716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outlineLevel="1" x14ac:dyDescent="0.25">
      <c r="A129" s="25" t="s">
        <v>88</v>
      </c>
      <c r="B129" s="6"/>
      <c r="C129" s="7"/>
      <c r="D129" s="6"/>
      <c r="E129" s="40"/>
      <c r="F129" s="80"/>
      <c r="G129" s="6"/>
      <c r="H129" s="6" t="s">
        <v>52</v>
      </c>
      <c r="I129" s="6"/>
      <c r="J129" s="6"/>
      <c r="K129" s="48">
        <f>+'Acquirer Model'!C182</f>
        <v>147788.27225977054</v>
      </c>
      <c r="L129" s="48">
        <f ca="1">+'Pro Forma Model'!C194</f>
        <v>178399.35898553894</v>
      </c>
      <c r="M129" s="77">
        <f t="shared" ca="1" si="47"/>
        <v>0.20712798287514089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outlineLevel="1" x14ac:dyDescent="0.25">
      <c r="A130" s="6" t="s">
        <v>144</v>
      </c>
      <c r="B130" s="6"/>
      <c r="C130" s="7"/>
      <c r="D130" s="6"/>
      <c r="E130" s="40">
        <f>+'M&amp;A Assumptions &amp; Analysis'!D8</f>
        <v>11.75</v>
      </c>
      <c r="F130" s="80">
        <f>+'Acquirer Model'!C186</f>
        <v>22.719924911821131</v>
      </c>
      <c r="G130" s="6"/>
      <c r="H130" s="6" t="s">
        <v>145</v>
      </c>
      <c r="I130" s="6"/>
      <c r="J130" s="6"/>
      <c r="K130" s="48">
        <f>+'Acquirer Model'!C183</f>
        <v>30000</v>
      </c>
      <c r="L130" s="48">
        <f ca="1">+'Pro Forma Model'!C195</f>
        <v>24176.971894625509</v>
      </c>
      <c r="M130" s="77">
        <f t="shared" ca="1" si="47"/>
        <v>-0.19410093684581642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outlineLevel="1" x14ac:dyDescent="0.25">
      <c r="A131" s="6" t="s">
        <v>146</v>
      </c>
      <c r="B131" s="6"/>
      <c r="C131" s="7"/>
      <c r="D131" s="6"/>
      <c r="E131" s="81"/>
      <c r="F131" s="80">
        <f ca="1">+'Pro Forma Model'!C198</f>
        <v>22.073219034747108</v>
      </c>
      <c r="G131" s="6"/>
      <c r="H131" s="26" t="s">
        <v>63</v>
      </c>
      <c r="I131" s="26"/>
      <c r="J131" s="26"/>
      <c r="K131" s="26">
        <f t="shared" ref="K131:L131" si="48">+K128+K130-K129</f>
        <v>1018207.973331286</v>
      </c>
      <c r="L131" s="26">
        <f t="shared" ca="1" si="48"/>
        <v>1893231.1558699403</v>
      </c>
      <c r="M131" s="82">
        <f t="shared" ca="1" si="47"/>
        <v>0.85937569284183479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outlineLevel="1" x14ac:dyDescent="0.25">
      <c r="A132" s="35" t="s">
        <v>147</v>
      </c>
      <c r="B132" s="35"/>
      <c r="C132" s="49"/>
      <c r="D132" s="49"/>
      <c r="E132" s="49"/>
      <c r="F132" s="83">
        <f ca="1">+F131-F130</f>
        <v>-0.64670587707402305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outlineLevel="1" x14ac:dyDescent="0.25">
      <c r="A133" s="6"/>
      <c r="B133" s="6"/>
      <c r="C133" s="7"/>
      <c r="D133" s="6"/>
      <c r="E133" s="84"/>
      <c r="F133" s="84">
        <f ca="1">+F132/F130</f>
        <v>-2.8464261197339753E-2</v>
      </c>
      <c r="G133" s="6"/>
      <c r="H133" s="6" t="s">
        <v>148</v>
      </c>
      <c r="I133" s="6"/>
      <c r="J133" s="6"/>
      <c r="K133" s="6">
        <f>+D22</f>
        <v>50000</v>
      </c>
      <c r="L133" s="6">
        <f ca="1">+D25</f>
        <v>92757.360842467227</v>
      </c>
      <c r="M133" s="77">
        <f t="shared" ref="M133:M134" ca="1" si="49">+L133/K133-1</f>
        <v>0.85514721684934458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outlineLevel="1" x14ac:dyDescent="0.25">
      <c r="A134" s="6"/>
      <c r="B134" s="6"/>
      <c r="C134" s="7"/>
      <c r="D134" s="6"/>
      <c r="E134" s="6"/>
      <c r="F134" s="6"/>
      <c r="G134" s="6"/>
      <c r="H134" s="25" t="s">
        <v>149</v>
      </c>
      <c r="I134" s="25"/>
      <c r="J134" s="6"/>
      <c r="K134" s="25">
        <f t="shared" ref="K134:L134" si="50">+K131/K133</f>
        <v>20.364159466625718</v>
      </c>
      <c r="L134" s="25">
        <f t="shared" ca="1" si="50"/>
        <v>20.410575922759111</v>
      </c>
      <c r="M134" s="84">
        <f t="shared" ca="1" si="49"/>
        <v>2.2793209908547052E-3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outlineLevel="1" x14ac:dyDescent="0.25">
      <c r="A135" s="6"/>
      <c r="B135" s="6"/>
      <c r="C135" s="7"/>
      <c r="D135" s="6"/>
      <c r="E135" s="6"/>
      <c r="F135" s="6"/>
      <c r="G135" s="6"/>
      <c r="H135" s="25"/>
      <c r="I135" s="25"/>
      <c r="J135" s="6"/>
      <c r="K135" s="6"/>
      <c r="L135" s="85"/>
      <c r="M135" s="85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outlineLevel="1" x14ac:dyDescent="0.25">
      <c r="A136" s="6"/>
      <c r="B136" s="6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outlineLevel="1" x14ac:dyDescent="0.25">
      <c r="A137" s="169" t="s">
        <v>150</v>
      </c>
      <c r="B137" s="170"/>
      <c r="C137" s="170"/>
      <c r="D137" s="170"/>
      <c r="E137" s="170"/>
      <c r="F137" s="171"/>
      <c r="G137" s="6"/>
      <c r="H137" s="169" t="s">
        <v>151</v>
      </c>
      <c r="I137" s="170"/>
      <c r="J137" s="170"/>
      <c r="K137" s="170"/>
      <c r="L137" s="170"/>
      <c r="M137" s="171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outlineLevel="1" x14ac:dyDescent="0.25">
      <c r="A138" s="6"/>
      <c r="B138" s="6"/>
      <c r="C138" s="172" t="s">
        <v>45</v>
      </c>
      <c r="D138" s="173"/>
      <c r="E138" s="173"/>
      <c r="F138" s="173"/>
      <c r="G138" s="6"/>
      <c r="H138" s="6"/>
      <c r="I138" s="6"/>
      <c r="J138" s="172" t="s">
        <v>45</v>
      </c>
      <c r="K138" s="173"/>
      <c r="L138" s="173"/>
      <c r="M138" s="173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outlineLevel="1" x14ac:dyDescent="0.25">
      <c r="A139" s="6"/>
      <c r="B139" s="86">
        <v>0.06</v>
      </c>
      <c r="C139" s="87">
        <v>0.2</v>
      </c>
      <c r="D139" s="88">
        <f t="shared" ref="D139:F139" si="51">+C139+5%</f>
        <v>0.25</v>
      </c>
      <c r="E139" s="88">
        <f t="shared" si="51"/>
        <v>0.3</v>
      </c>
      <c r="F139" s="88">
        <f t="shared" si="51"/>
        <v>0.35</v>
      </c>
      <c r="G139" s="6"/>
      <c r="H139" s="6"/>
      <c r="I139" s="86">
        <f ca="1">J106</f>
        <v>4.4923919304798554E-2</v>
      </c>
      <c r="J139" s="87">
        <v>0.2</v>
      </c>
      <c r="K139" s="88">
        <f t="shared" ref="K139:M139" si="52">+J139+5%</f>
        <v>0.25</v>
      </c>
      <c r="L139" s="88">
        <f t="shared" si="52"/>
        <v>0.3</v>
      </c>
      <c r="M139" s="88">
        <f t="shared" si="52"/>
        <v>0.35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outlineLevel="1" x14ac:dyDescent="0.25">
      <c r="A140" s="6" t="s">
        <v>152</v>
      </c>
      <c r="B140" s="89">
        <v>6500</v>
      </c>
      <c r="C140" s="90"/>
      <c r="D140" s="90" t="e">
        <v>#NUM!</v>
      </c>
      <c r="E140" s="90" t="e">
        <v>#NUM!</v>
      </c>
      <c r="F140" s="90" t="e">
        <v>#NUM!</v>
      </c>
      <c r="G140" s="6"/>
      <c r="H140" s="6" t="s">
        <v>153</v>
      </c>
      <c r="I140" s="91">
        <v>18</v>
      </c>
      <c r="J140" s="92"/>
      <c r="K140" s="93" t="e">
        <v>#DIV/0!</v>
      </c>
      <c r="L140" s="93" t="e">
        <v>#DIV/0!</v>
      </c>
      <c r="M140" s="93" t="e">
        <v>#DIV/0!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outlineLevel="1" x14ac:dyDescent="0.25">
      <c r="A141" s="6"/>
      <c r="B141" s="94">
        <f t="shared" ref="B141:B145" si="53">+B140-1000</f>
        <v>5500</v>
      </c>
      <c r="C141" s="95" t="e">
        <v>#NUM!</v>
      </c>
      <c r="D141" s="95" t="e">
        <v>#NUM!</v>
      </c>
      <c r="E141" s="95" t="e">
        <v>#NUM!</v>
      </c>
      <c r="F141" s="95" t="e">
        <v>#NUM!</v>
      </c>
      <c r="G141" s="6"/>
      <c r="H141" s="6"/>
      <c r="I141" s="96">
        <f t="shared" ref="I141:I145" si="54">+I140+1</f>
        <v>19</v>
      </c>
      <c r="J141" s="44" t="e">
        <v>#DIV/0!</v>
      </c>
      <c r="K141" s="44" t="e">
        <v>#DIV/0!</v>
      </c>
      <c r="L141" s="44" t="e">
        <v>#DIV/0!</v>
      </c>
      <c r="M141" s="44" t="e">
        <v>#DIV/0!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outlineLevel="1" x14ac:dyDescent="0.25">
      <c r="A142" s="6"/>
      <c r="B142" s="94">
        <f t="shared" si="53"/>
        <v>4500</v>
      </c>
      <c r="C142" s="95" t="e">
        <v>#NUM!</v>
      </c>
      <c r="D142" s="95" t="e">
        <v>#NUM!</v>
      </c>
      <c r="E142" s="95" t="e">
        <v>#NUM!</v>
      </c>
      <c r="F142" s="95" t="e">
        <v>#NUM!</v>
      </c>
      <c r="G142" s="6"/>
      <c r="H142" s="6"/>
      <c r="I142" s="96">
        <f t="shared" si="54"/>
        <v>20</v>
      </c>
      <c r="J142" s="44" t="e">
        <v>#DIV/0!</v>
      </c>
      <c r="K142" s="44" t="e">
        <v>#DIV/0!</v>
      </c>
      <c r="L142" s="44" t="e">
        <v>#DIV/0!</v>
      </c>
      <c r="M142" s="44" t="e">
        <v>#DIV/0!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outlineLevel="1" x14ac:dyDescent="0.25">
      <c r="A143" s="6"/>
      <c r="B143" s="94">
        <f t="shared" si="53"/>
        <v>3500</v>
      </c>
      <c r="C143" s="95" t="e">
        <v>#NUM!</v>
      </c>
      <c r="D143" s="95" t="e">
        <v>#NUM!</v>
      </c>
      <c r="E143" s="95" t="e">
        <v>#NUM!</v>
      </c>
      <c r="F143" s="95" t="e">
        <v>#NUM!</v>
      </c>
      <c r="G143" s="6"/>
      <c r="H143" s="6"/>
      <c r="I143" s="96">
        <f t="shared" si="54"/>
        <v>21</v>
      </c>
      <c r="J143" s="44" t="e">
        <v>#DIV/0!</v>
      </c>
      <c r="K143" s="44" t="e">
        <v>#DIV/0!</v>
      </c>
      <c r="L143" s="44" t="e">
        <v>#DIV/0!</v>
      </c>
      <c r="M143" s="44" t="e">
        <v>#DIV/0!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outlineLevel="1" x14ac:dyDescent="0.25">
      <c r="A144" s="6"/>
      <c r="B144" s="94">
        <f t="shared" si="53"/>
        <v>2500</v>
      </c>
      <c r="C144" s="95" t="e">
        <v>#NUM!</v>
      </c>
      <c r="D144" s="95" t="e">
        <v>#NUM!</v>
      </c>
      <c r="E144" s="95" t="e">
        <v>#NUM!</v>
      </c>
      <c r="F144" s="95" t="e">
        <v>#NUM!</v>
      </c>
      <c r="G144" s="6"/>
      <c r="H144" s="6"/>
      <c r="I144" s="96">
        <f t="shared" si="54"/>
        <v>22</v>
      </c>
      <c r="J144" s="44" t="e">
        <v>#DIV/0!</v>
      </c>
      <c r="K144" s="44" t="e">
        <v>#DIV/0!</v>
      </c>
      <c r="L144" s="44" t="e">
        <v>#DIV/0!</v>
      </c>
      <c r="M144" s="44" t="e">
        <v>#DIV/0!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outlineLevel="1" x14ac:dyDescent="0.25">
      <c r="A145" s="6"/>
      <c r="B145" s="94">
        <f t="shared" si="53"/>
        <v>1500</v>
      </c>
      <c r="C145" s="95" t="e">
        <v>#NUM!</v>
      </c>
      <c r="D145" s="95" t="e">
        <v>#NUM!</v>
      </c>
      <c r="E145" s="95" t="e">
        <v>#NUM!</v>
      </c>
      <c r="F145" s="95" t="e">
        <v>#NUM!</v>
      </c>
      <c r="G145" s="6"/>
      <c r="H145" s="6"/>
      <c r="I145" s="96">
        <f t="shared" si="54"/>
        <v>23</v>
      </c>
      <c r="J145" s="44" t="e">
        <v>#DIV/0!</v>
      </c>
      <c r="K145" s="44" t="e">
        <v>#DIV/0!</v>
      </c>
      <c r="L145" s="44" t="e">
        <v>#DIV/0!</v>
      </c>
      <c r="M145" s="44" t="e">
        <v>#DIV/0!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outlineLevel="1" x14ac:dyDescent="0.25">
      <c r="A146" s="6"/>
      <c r="B146" s="6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outlineLevel="1" x14ac:dyDescent="0.25">
      <c r="A147" s="6"/>
      <c r="B147" s="6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x14ac:dyDescent="0.25">
      <c r="A148" s="6"/>
      <c r="B148" s="6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x14ac:dyDescent="0.25">
      <c r="A149" s="6"/>
      <c r="B149" s="6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x14ac:dyDescent="0.25">
      <c r="A150" s="6"/>
      <c r="B150" s="6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x14ac:dyDescent="0.25">
      <c r="A151" s="6"/>
      <c r="B151" s="6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x14ac:dyDescent="0.25">
      <c r="A152" s="6"/>
      <c r="B152" s="6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x14ac:dyDescent="0.25">
      <c r="A153" s="6"/>
      <c r="B153" s="6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x14ac:dyDescent="0.25">
      <c r="A154" s="6"/>
      <c r="B154" s="6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x14ac:dyDescent="0.25">
      <c r="A155" s="6"/>
      <c r="B155" s="6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x14ac:dyDescent="0.25">
      <c r="A156" s="6"/>
      <c r="B156" s="6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x14ac:dyDescent="0.25">
      <c r="A157" s="6"/>
      <c r="B157" s="6"/>
      <c r="C157" s="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x14ac:dyDescent="0.25">
      <c r="A158" s="6"/>
      <c r="B158" s="6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x14ac:dyDescent="0.25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x14ac:dyDescent="0.25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x14ac:dyDescent="0.25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x14ac:dyDescent="0.25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x14ac:dyDescent="0.25">
      <c r="A163" s="6"/>
      <c r="B163" s="6"/>
      <c r="C163" s="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x14ac:dyDescent="0.25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x14ac:dyDescent="0.25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x14ac:dyDescent="0.25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x14ac:dyDescent="0.25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x14ac:dyDescent="0.25">
      <c r="A168" s="6"/>
      <c r="B168" s="6"/>
      <c r="C168" s="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x14ac:dyDescent="0.25">
      <c r="A169" s="6"/>
      <c r="B169" s="6"/>
      <c r="C169" s="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x14ac:dyDescent="0.25">
      <c r="A170" s="6"/>
      <c r="B170" s="6"/>
      <c r="C170" s="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x14ac:dyDescent="0.25">
      <c r="A171" s="6"/>
      <c r="B171" s="6"/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x14ac:dyDescent="0.25">
      <c r="A172" s="6"/>
      <c r="B172" s="6"/>
      <c r="C172" s="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x14ac:dyDescent="0.25">
      <c r="A173" s="6"/>
      <c r="B173" s="6"/>
      <c r="C173" s="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x14ac:dyDescent="0.25">
      <c r="A174" s="6"/>
      <c r="B174" s="6"/>
      <c r="C174" s="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x14ac:dyDescent="0.25">
      <c r="A175" s="6"/>
      <c r="B175" s="6"/>
      <c r="C175" s="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x14ac:dyDescent="0.25">
      <c r="A176" s="6"/>
      <c r="B176" s="6"/>
      <c r="C176" s="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x14ac:dyDescent="0.25">
      <c r="A177" s="6"/>
      <c r="B177" s="6"/>
      <c r="C177" s="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x14ac:dyDescent="0.25">
      <c r="A178" s="6"/>
      <c r="B178" s="6"/>
      <c r="C178" s="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x14ac:dyDescent="0.25">
      <c r="A179" s="6"/>
      <c r="B179" s="6"/>
      <c r="C179" s="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x14ac:dyDescent="0.25">
      <c r="A180" s="6"/>
      <c r="B180" s="6"/>
      <c r="C180" s="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x14ac:dyDescent="0.25">
      <c r="A181" s="6"/>
      <c r="B181" s="6"/>
      <c r="C181" s="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x14ac:dyDescent="0.25">
      <c r="A182" s="6"/>
      <c r="B182" s="6"/>
      <c r="C182" s="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x14ac:dyDescent="0.25">
      <c r="A183" s="6"/>
      <c r="B183" s="6"/>
      <c r="C183" s="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x14ac:dyDescent="0.25">
      <c r="A184" s="6"/>
      <c r="B184" s="6"/>
      <c r="C184" s="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x14ac:dyDescent="0.25">
      <c r="A185" s="6"/>
      <c r="B185" s="6"/>
      <c r="C185" s="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x14ac:dyDescent="0.25">
      <c r="A186" s="6"/>
      <c r="B186" s="6"/>
      <c r="C186" s="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x14ac:dyDescent="0.25">
      <c r="A187" s="6"/>
      <c r="B187" s="6"/>
      <c r="C187" s="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x14ac:dyDescent="0.25">
      <c r="A188" s="6"/>
      <c r="B188" s="6"/>
      <c r="C188" s="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x14ac:dyDescent="0.25">
      <c r="A189" s="6"/>
      <c r="B189" s="6"/>
      <c r="C189" s="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x14ac:dyDescent="0.25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x14ac:dyDescent="0.25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x14ac:dyDescent="0.25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x14ac:dyDescent="0.25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x14ac:dyDescent="0.25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x14ac:dyDescent="0.25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x14ac:dyDescent="0.25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x14ac:dyDescent="0.25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x14ac:dyDescent="0.25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x14ac:dyDescent="0.25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x14ac:dyDescent="0.25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x14ac:dyDescent="0.25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x14ac:dyDescent="0.25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x14ac:dyDescent="0.25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x14ac:dyDescent="0.25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x14ac:dyDescent="0.25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x14ac:dyDescent="0.25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x14ac:dyDescent="0.25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x14ac:dyDescent="0.25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x14ac:dyDescent="0.25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x14ac:dyDescent="0.25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x14ac:dyDescent="0.25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x14ac:dyDescent="0.25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x14ac:dyDescent="0.25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x14ac:dyDescent="0.25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x14ac:dyDescent="0.25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x14ac:dyDescent="0.25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x14ac:dyDescent="0.25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x14ac:dyDescent="0.25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x14ac:dyDescent="0.25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x14ac:dyDescent="0.25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x14ac:dyDescent="0.25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x14ac:dyDescent="0.25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x14ac:dyDescent="0.25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x14ac:dyDescent="0.25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x14ac:dyDescent="0.25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x14ac:dyDescent="0.25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x14ac:dyDescent="0.25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x14ac:dyDescent="0.25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x14ac:dyDescent="0.25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x14ac:dyDescent="0.25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x14ac:dyDescent="0.25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x14ac:dyDescent="0.25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x14ac:dyDescent="0.25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x14ac:dyDescent="0.25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x14ac:dyDescent="0.25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x14ac:dyDescent="0.25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x14ac:dyDescent="0.25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x14ac:dyDescent="0.25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x14ac:dyDescent="0.25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x14ac:dyDescent="0.25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x14ac:dyDescent="0.25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x14ac:dyDescent="0.25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x14ac:dyDescent="0.25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x14ac:dyDescent="0.25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x14ac:dyDescent="0.25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x14ac:dyDescent="0.25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x14ac:dyDescent="0.25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x14ac:dyDescent="0.25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x14ac:dyDescent="0.25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x14ac:dyDescent="0.25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x14ac:dyDescent="0.25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x14ac:dyDescent="0.25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x14ac:dyDescent="0.25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x14ac:dyDescent="0.25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x14ac:dyDescent="0.25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x14ac:dyDescent="0.25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x14ac:dyDescent="0.25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x14ac:dyDescent="0.25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x14ac:dyDescent="0.25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x14ac:dyDescent="0.25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x14ac:dyDescent="0.25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x14ac:dyDescent="0.25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x14ac:dyDescent="0.25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x14ac:dyDescent="0.25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x14ac:dyDescent="0.25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x14ac:dyDescent="0.25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x14ac:dyDescent="0.25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x14ac:dyDescent="0.25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x14ac:dyDescent="0.25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x14ac:dyDescent="0.25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x14ac:dyDescent="0.25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x14ac:dyDescent="0.25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x14ac:dyDescent="0.25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x14ac:dyDescent="0.25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x14ac:dyDescent="0.25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x14ac:dyDescent="0.25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x14ac:dyDescent="0.25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x14ac:dyDescent="0.25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x14ac:dyDescent="0.25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x14ac:dyDescent="0.25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x14ac:dyDescent="0.25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x14ac:dyDescent="0.25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x14ac:dyDescent="0.25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x14ac:dyDescent="0.25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x14ac:dyDescent="0.25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x14ac:dyDescent="0.25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x14ac:dyDescent="0.25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x14ac:dyDescent="0.25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x14ac:dyDescent="0.25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x14ac:dyDescent="0.25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x14ac:dyDescent="0.25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x14ac:dyDescent="0.25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x14ac:dyDescent="0.25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x14ac:dyDescent="0.25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x14ac:dyDescent="0.25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x14ac:dyDescent="0.25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x14ac:dyDescent="0.25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x14ac:dyDescent="0.25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x14ac:dyDescent="0.25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x14ac:dyDescent="0.25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x14ac:dyDescent="0.25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x14ac:dyDescent="0.25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x14ac:dyDescent="0.25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x14ac:dyDescent="0.25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x14ac:dyDescent="0.25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x14ac:dyDescent="0.25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x14ac:dyDescent="0.25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x14ac:dyDescent="0.25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x14ac:dyDescent="0.25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x14ac:dyDescent="0.25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x14ac:dyDescent="0.25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x14ac:dyDescent="0.25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x14ac:dyDescent="0.25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x14ac:dyDescent="0.25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x14ac:dyDescent="0.25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x14ac:dyDescent="0.25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x14ac:dyDescent="0.25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x14ac:dyDescent="0.25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x14ac:dyDescent="0.25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x14ac:dyDescent="0.25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x14ac:dyDescent="0.25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x14ac:dyDescent="0.25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x14ac:dyDescent="0.25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x14ac:dyDescent="0.25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x14ac:dyDescent="0.25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x14ac:dyDescent="0.25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x14ac:dyDescent="0.25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x14ac:dyDescent="0.25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x14ac:dyDescent="0.25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x14ac:dyDescent="0.25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x14ac:dyDescent="0.25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x14ac:dyDescent="0.25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x14ac:dyDescent="0.25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x14ac:dyDescent="0.25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x14ac:dyDescent="0.25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x14ac:dyDescent="0.25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x14ac:dyDescent="0.25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x14ac:dyDescent="0.25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x14ac:dyDescent="0.25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x14ac:dyDescent="0.25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x14ac:dyDescent="0.25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x14ac:dyDescent="0.25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x14ac:dyDescent="0.25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x14ac:dyDescent="0.25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x14ac:dyDescent="0.25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x14ac:dyDescent="0.25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x14ac:dyDescent="0.25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x14ac:dyDescent="0.25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x14ac:dyDescent="0.25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x14ac:dyDescent="0.25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x14ac:dyDescent="0.25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x14ac:dyDescent="0.25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x14ac:dyDescent="0.25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x14ac:dyDescent="0.25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x14ac:dyDescent="0.25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x14ac:dyDescent="0.25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x14ac:dyDescent="0.25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x14ac:dyDescent="0.25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x14ac:dyDescent="0.25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x14ac:dyDescent="0.25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x14ac:dyDescent="0.25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x14ac:dyDescent="0.25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x14ac:dyDescent="0.25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x14ac:dyDescent="0.25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x14ac:dyDescent="0.25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x14ac:dyDescent="0.25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x14ac:dyDescent="0.25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x14ac:dyDescent="0.25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x14ac:dyDescent="0.25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x14ac:dyDescent="0.25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x14ac:dyDescent="0.25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x14ac:dyDescent="0.25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x14ac:dyDescent="0.25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x14ac:dyDescent="0.25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x14ac:dyDescent="0.25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x14ac:dyDescent="0.25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x14ac:dyDescent="0.25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x14ac:dyDescent="0.25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x14ac:dyDescent="0.25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x14ac:dyDescent="0.25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x14ac:dyDescent="0.25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x14ac:dyDescent="0.25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x14ac:dyDescent="0.25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x14ac:dyDescent="0.25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x14ac:dyDescent="0.25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x14ac:dyDescent="0.25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x14ac:dyDescent="0.25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x14ac:dyDescent="0.25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x14ac:dyDescent="0.25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x14ac:dyDescent="0.25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x14ac:dyDescent="0.25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x14ac:dyDescent="0.25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x14ac:dyDescent="0.25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x14ac:dyDescent="0.25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x14ac:dyDescent="0.25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x14ac:dyDescent="0.25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x14ac:dyDescent="0.25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x14ac:dyDescent="0.25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x14ac:dyDescent="0.25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x14ac:dyDescent="0.25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x14ac:dyDescent="0.25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x14ac:dyDescent="0.25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x14ac:dyDescent="0.25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x14ac:dyDescent="0.25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x14ac:dyDescent="0.25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x14ac:dyDescent="0.25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x14ac:dyDescent="0.25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x14ac:dyDescent="0.25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x14ac:dyDescent="0.25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x14ac:dyDescent="0.25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x14ac:dyDescent="0.25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x14ac:dyDescent="0.25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x14ac:dyDescent="0.25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x14ac:dyDescent="0.25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x14ac:dyDescent="0.25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x14ac:dyDescent="0.25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x14ac:dyDescent="0.25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x14ac:dyDescent="0.25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x14ac:dyDescent="0.25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x14ac:dyDescent="0.25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x14ac:dyDescent="0.25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x14ac:dyDescent="0.25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x14ac:dyDescent="0.25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x14ac:dyDescent="0.25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x14ac:dyDescent="0.25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x14ac:dyDescent="0.25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x14ac:dyDescent="0.25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x14ac:dyDescent="0.25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x14ac:dyDescent="0.25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x14ac:dyDescent="0.25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x14ac:dyDescent="0.25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x14ac:dyDescent="0.25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x14ac:dyDescent="0.25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x14ac:dyDescent="0.25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x14ac:dyDescent="0.25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x14ac:dyDescent="0.25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x14ac:dyDescent="0.25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x14ac:dyDescent="0.25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x14ac:dyDescent="0.25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x14ac:dyDescent="0.25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x14ac:dyDescent="0.25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x14ac:dyDescent="0.25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x14ac:dyDescent="0.25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x14ac:dyDescent="0.25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x14ac:dyDescent="0.25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x14ac:dyDescent="0.25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x14ac:dyDescent="0.25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x14ac:dyDescent="0.25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x14ac:dyDescent="0.25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x14ac:dyDescent="0.25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x14ac:dyDescent="0.25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x14ac:dyDescent="0.25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x14ac:dyDescent="0.25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x14ac:dyDescent="0.25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x14ac:dyDescent="0.25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x14ac:dyDescent="0.25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x14ac:dyDescent="0.25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x14ac:dyDescent="0.25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x14ac:dyDescent="0.25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x14ac:dyDescent="0.25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x14ac:dyDescent="0.25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x14ac:dyDescent="0.25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x14ac:dyDescent="0.25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x14ac:dyDescent="0.25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x14ac:dyDescent="0.25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x14ac:dyDescent="0.25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x14ac:dyDescent="0.25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x14ac:dyDescent="0.25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x14ac:dyDescent="0.25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x14ac:dyDescent="0.25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x14ac:dyDescent="0.25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x14ac:dyDescent="0.25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x14ac:dyDescent="0.25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x14ac:dyDescent="0.25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x14ac:dyDescent="0.25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x14ac:dyDescent="0.25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x14ac:dyDescent="0.25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x14ac:dyDescent="0.25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x14ac:dyDescent="0.25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x14ac:dyDescent="0.25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x14ac:dyDescent="0.25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x14ac:dyDescent="0.25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x14ac:dyDescent="0.25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x14ac:dyDescent="0.25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x14ac:dyDescent="0.25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x14ac:dyDescent="0.25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x14ac:dyDescent="0.25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x14ac:dyDescent="0.25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x14ac:dyDescent="0.25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x14ac:dyDescent="0.25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x14ac:dyDescent="0.25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x14ac:dyDescent="0.25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x14ac:dyDescent="0.25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x14ac:dyDescent="0.25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x14ac:dyDescent="0.25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x14ac:dyDescent="0.25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x14ac:dyDescent="0.25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x14ac:dyDescent="0.25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x14ac:dyDescent="0.25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x14ac:dyDescent="0.25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x14ac:dyDescent="0.25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x14ac:dyDescent="0.25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x14ac:dyDescent="0.25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x14ac:dyDescent="0.25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x14ac:dyDescent="0.25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x14ac:dyDescent="0.25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x14ac:dyDescent="0.25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x14ac:dyDescent="0.25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x14ac:dyDescent="0.25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x14ac:dyDescent="0.25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x14ac:dyDescent="0.25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x14ac:dyDescent="0.25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x14ac:dyDescent="0.25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x14ac:dyDescent="0.25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x14ac:dyDescent="0.25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x14ac:dyDescent="0.25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x14ac:dyDescent="0.25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x14ac:dyDescent="0.25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x14ac:dyDescent="0.25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x14ac:dyDescent="0.25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x14ac:dyDescent="0.25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x14ac:dyDescent="0.25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x14ac:dyDescent="0.25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x14ac:dyDescent="0.25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x14ac:dyDescent="0.25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x14ac:dyDescent="0.25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x14ac:dyDescent="0.25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x14ac:dyDescent="0.25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x14ac:dyDescent="0.25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x14ac:dyDescent="0.25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x14ac:dyDescent="0.25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x14ac:dyDescent="0.25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x14ac:dyDescent="0.25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x14ac:dyDescent="0.25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x14ac:dyDescent="0.25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x14ac:dyDescent="0.25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x14ac:dyDescent="0.25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x14ac:dyDescent="0.25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x14ac:dyDescent="0.25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x14ac:dyDescent="0.25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x14ac:dyDescent="0.25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x14ac:dyDescent="0.25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x14ac:dyDescent="0.25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x14ac:dyDescent="0.25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x14ac:dyDescent="0.25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x14ac:dyDescent="0.25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x14ac:dyDescent="0.25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x14ac:dyDescent="0.25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x14ac:dyDescent="0.25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x14ac:dyDescent="0.25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x14ac:dyDescent="0.25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x14ac:dyDescent="0.25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x14ac:dyDescent="0.25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x14ac:dyDescent="0.25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x14ac:dyDescent="0.25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x14ac:dyDescent="0.25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x14ac:dyDescent="0.25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x14ac:dyDescent="0.25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x14ac:dyDescent="0.25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x14ac:dyDescent="0.25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x14ac:dyDescent="0.25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x14ac:dyDescent="0.25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x14ac:dyDescent="0.25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x14ac:dyDescent="0.25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x14ac:dyDescent="0.25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x14ac:dyDescent="0.25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x14ac:dyDescent="0.25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x14ac:dyDescent="0.25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x14ac:dyDescent="0.25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x14ac:dyDescent="0.25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x14ac:dyDescent="0.25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x14ac:dyDescent="0.25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x14ac:dyDescent="0.25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x14ac:dyDescent="0.25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x14ac:dyDescent="0.25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x14ac:dyDescent="0.25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x14ac:dyDescent="0.25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x14ac:dyDescent="0.25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x14ac:dyDescent="0.25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x14ac:dyDescent="0.25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x14ac:dyDescent="0.25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x14ac:dyDescent="0.25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x14ac:dyDescent="0.25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x14ac:dyDescent="0.25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x14ac:dyDescent="0.25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x14ac:dyDescent="0.25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x14ac:dyDescent="0.25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x14ac:dyDescent="0.25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x14ac:dyDescent="0.25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x14ac:dyDescent="0.25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x14ac:dyDescent="0.25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x14ac:dyDescent="0.25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x14ac:dyDescent="0.25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x14ac:dyDescent="0.25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x14ac:dyDescent="0.25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x14ac:dyDescent="0.25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x14ac:dyDescent="0.25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x14ac:dyDescent="0.25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x14ac:dyDescent="0.25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x14ac:dyDescent="0.25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x14ac:dyDescent="0.25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x14ac:dyDescent="0.25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x14ac:dyDescent="0.25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x14ac:dyDescent="0.25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x14ac:dyDescent="0.25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x14ac:dyDescent="0.25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x14ac:dyDescent="0.25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x14ac:dyDescent="0.25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x14ac:dyDescent="0.25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x14ac:dyDescent="0.25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x14ac:dyDescent="0.25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x14ac:dyDescent="0.25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x14ac:dyDescent="0.25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x14ac:dyDescent="0.25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x14ac:dyDescent="0.25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x14ac:dyDescent="0.25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x14ac:dyDescent="0.25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x14ac:dyDescent="0.25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x14ac:dyDescent="0.25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x14ac:dyDescent="0.25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x14ac:dyDescent="0.25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x14ac:dyDescent="0.25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x14ac:dyDescent="0.25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x14ac:dyDescent="0.25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x14ac:dyDescent="0.25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x14ac:dyDescent="0.25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x14ac:dyDescent="0.25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x14ac:dyDescent="0.25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x14ac:dyDescent="0.25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x14ac:dyDescent="0.25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x14ac:dyDescent="0.25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x14ac:dyDescent="0.25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x14ac:dyDescent="0.25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x14ac:dyDescent="0.25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x14ac:dyDescent="0.25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x14ac:dyDescent="0.25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x14ac:dyDescent="0.25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x14ac:dyDescent="0.25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x14ac:dyDescent="0.25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x14ac:dyDescent="0.25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x14ac:dyDescent="0.25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x14ac:dyDescent="0.25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x14ac:dyDescent="0.25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x14ac:dyDescent="0.25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x14ac:dyDescent="0.25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x14ac:dyDescent="0.25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x14ac:dyDescent="0.25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x14ac:dyDescent="0.25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x14ac:dyDescent="0.25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x14ac:dyDescent="0.25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x14ac:dyDescent="0.25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x14ac:dyDescent="0.25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x14ac:dyDescent="0.25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x14ac:dyDescent="0.25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x14ac:dyDescent="0.25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x14ac:dyDescent="0.25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x14ac:dyDescent="0.25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x14ac:dyDescent="0.25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x14ac:dyDescent="0.25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x14ac:dyDescent="0.25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x14ac:dyDescent="0.25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x14ac:dyDescent="0.25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x14ac:dyDescent="0.25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x14ac:dyDescent="0.25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x14ac:dyDescent="0.25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x14ac:dyDescent="0.25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x14ac:dyDescent="0.25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x14ac:dyDescent="0.25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x14ac:dyDescent="0.25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x14ac:dyDescent="0.25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x14ac:dyDescent="0.25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x14ac:dyDescent="0.25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x14ac:dyDescent="0.25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x14ac:dyDescent="0.25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x14ac:dyDescent="0.25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x14ac:dyDescent="0.25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x14ac:dyDescent="0.25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x14ac:dyDescent="0.25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x14ac:dyDescent="0.25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x14ac:dyDescent="0.25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x14ac:dyDescent="0.25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x14ac:dyDescent="0.25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x14ac:dyDescent="0.25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x14ac:dyDescent="0.25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x14ac:dyDescent="0.25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x14ac:dyDescent="0.25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x14ac:dyDescent="0.25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x14ac:dyDescent="0.25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x14ac:dyDescent="0.25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x14ac:dyDescent="0.25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x14ac:dyDescent="0.25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x14ac:dyDescent="0.25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x14ac:dyDescent="0.25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x14ac:dyDescent="0.25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x14ac:dyDescent="0.25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x14ac:dyDescent="0.25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x14ac:dyDescent="0.25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x14ac:dyDescent="0.25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x14ac:dyDescent="0.25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x14ac:dyDescent="0.25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x14ac:dyDescent="0.25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x14ac:dyDescent="0.25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x14ac:dyDescent="0.25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x14ac:dyDescent="0.25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x14ac:dyDescent="0.25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x14ac:dyDescent="0.25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x14ac:dyDescent="0.25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x14ac:dyDescent="0.25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x14ac:dyDescent="0.25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x14ac:dyDescent="0.25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x14ac:dyDescent="0.25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x14ac:dyDescent="0.25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x14ac:dyDescent="0.25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x14ac:dyDescent="0.25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x14ac:dyDescent="0.25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x14ac:dyDescent="0.25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x14ac:dyDescent="0.25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x14ac:dyDescent="0.25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x14ac:dyDescent="0.25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x14ac:dyDescent="0.25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x14ac:dyDescent="0.25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x14ac:dyDescent="0.25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x14ac:dyDescent="0.25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x14ac:dyDescent="0.25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x14ac:dyDescent="0.25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x14ac:dyDescent="0.25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x14ac:dyDescent="0.25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x14ac:dyDescent="0.25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x14ac:dyDescent="0.25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x14ac:dyDescent="0.25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x14ac:dyDescent="0.25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x14ac:dyDescent="0.25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x14ac:dyDescent="0.25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x14ac:dyDescent="0.25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x14ac:dyDescent="0.25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x14ac:dyDescent="0.25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x14ac:dyDescent="0.25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x14ac:dyDescent="0.25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x14ac:dyDescent="0.25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x14ac:dyDescent="0.25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x14ac:dyDescent="0.25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x14ac:dyDescent="0.25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x14ac:dyDescent="0.25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x14ac:dyDescent="0.25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x14ac:dyDescent="0.25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x14ac:dyDescent="0.25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x14ac:dyDescent="0.25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x14ac:dyDescent="0.25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x14ac:dyDescent="0.25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x14ac:dyDescent="0.25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x14ac:dyDescent="0.25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x14ac:dyDescent="0.25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x14ac:dyDescent="0.25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x14ac:dyDescent="0.25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x14ac:dyDescent="0.25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x14ac:dyDescent="0.25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x14ac:dyDescent="0.25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x14ac:dyDescent="0.25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x14ac:dyDescent="0.25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x14ac:dyDescent="0.25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x14ac:dyDescent="0.25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x14ac:dyDescent="0.25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x14ac:dyDescent="0.25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x14ac:dyDescent="0.25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x14ac:dyDescent="0.25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x14ac:dyDescent="0.25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x14ac:dyDescent="0.25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x14ac:dyDescent="0.25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x14ac:dyDescent="0.25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x14ac:dyDescent="0.25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x14ac:dyDescent="0.25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x14ac:dyDescent="0.25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x14ac:dyDescent="0.25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x14ac:dyDescent="0.25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x14ac:dyDescent="0.25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x14ac:dyDescent="0.25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x14ac:dyDescent="0.25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x14ac:dyDescent="0.25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x14ac:dyDescent="0.25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x14ac:dyDescent="0.25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x14ac:dyDescent="0.25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x14ac:dyDescent="0.25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x14ac:dyDescent="0.25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x14ac:dyDescent="0.25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x14ac:dyDescent="0.25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x14ac:dyDescent="0.25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x14ac:dyDescent="0.25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x14ac:dyDescent="0.25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x14ac:dyDescent="0.25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x14ac:dyDescent="0.25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x14ac:dyDescent="0.25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x14ac:dyDescent="0.25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x14ac:dyDescent="0.25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x14ac:dyDescent="0.25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x14ac:dyDescent="0.25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x14ac:dyDescent="0.25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x14ac:dyDescent="0.25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x14ac:dyDescent="0.25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x14ac:dyDescent="0.25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x14ac:dyDescent="0.25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x14ac:dyDescent="0.25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x14ac:dyDescent="0.25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x14ac:dyDescent="0.25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x14ac:dyDescent="0.25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x14ac:dyDescent="0.25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x14ac:dyDescent="0.25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x14ac:dyDescent="0.25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x14ac:dyDescent="0.25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x14ac:dyDescent="0.25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x14ac:dyDescent="0.25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x14ac:dyDescent="0.25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x14ac:dyDescent="0.25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x14ac:dyDescent="0.25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x14ac:dyDescent="0.25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x14ac:dyDescent="0.25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x14ac:dyDescent="0.25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x14ac:dyDescent="0.25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x14ac:dyDescent="0.25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x14ac:dyDescent="0.25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x14ac:dyDescent="0.25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x14ac:dyDescent="0.25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x14ac:dyDescent="0.25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x14ac:dyDescent="0.25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x14ac:dyDescent="0.25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x14ac:dyDescent="0.25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x14ac:dyDescent="0.25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x14ac:dyDescent="0.25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x14ac:dyDescent="0.25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x14ac:dyDescent="0.25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x14ac:dyDescent="0.25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x14ac:dyDescent="0.25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x14ac:dyDescent="0.25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x14ac:dyDescent="0.25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x14ac:dyDescent="0.25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x14ac:dyDescent="0.25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x14ac:dyDescent="0.25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x14ac:dyDescent="0.25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x14ac:dyDescent="0.25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x14ac:dyDescent="0.25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x14ac:dyDescent="0.25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x14ac:dyDescent="0.25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x14ac:dyDescent="0.25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x14ac:dyDescent="0.25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x14ac:dyDescent="0.25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x14ac:dyDescent="0.25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x14ac:dyDescent="0.25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x14ac:dyDescent="0.25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x14ac:dyDescent="0.25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x14ac:dyDescent="0.25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x14ac:dyDescent="0.25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x14ac:dyDescent="0.25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x14ac:dyDescent="0.25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x14ac:dyDescent="0.25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x14ac:dyDescent="0.25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x14ac:dyDescent="0.25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x14ac:dyDescent="0.25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x14ac:dyDescent="0.25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x14ac:dyDescent="0.25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x14ac:dyDescent="0.25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x14ac:dyDescent="0.25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x14ac:dyDescent="0.25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x14ac:dyDescent="0.25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x14ac:dyDescent="0.25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x14ac:dyDescent="0.25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x14ac:dyDescent="0.25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x14ac:dyDescent="0.25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x14ac:dyDescent="0.25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x14ac:dyDescent="0.25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x14ac:dyDescent="0.25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x14ac:dyDescent="0.25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x14ac:dyDescent="0.25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x14ac:dyDescent="0.25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x14ac:dyDescent="0.25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x14ac:dyDescent="0.25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x14ac:dyDescent="0.25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x14ac:dyDescent="0.25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x14ac:dyDescent="0.25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x14ac:dyDescent="0.25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x14ac:dyDescent="0.25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x14ac:dyDescent="0.25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x14ac:dyDescent="0.25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x14ac:dyDescent="0.25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x14ac:dyDescent="0.25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x14ac:dyDescent="0.25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x14ac:dyDescent="0.25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x14ac:dyDescent="0.25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x14ac:dyDescent="0.25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x14ac:dyDescent="0.25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x14ac:dyDescent="0.25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x14ac:dyDescent="0.25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x14ac:dyDescent="0.25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x14ac:dyDescent="0.25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x14ac:dyDescent="0.25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x14ac:dyDescent="0.25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x14ac:dyDescent="0.25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x14ac:dyDescent="0.25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x14ac:dyDescent="0.25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x14ac:dyDescent="0.25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x14ac:dyDescent="0.25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x14ac:dyDescent="0.25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x14ac:dyDescent="0.25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x14ac:dyDescent="0.25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x14ac:dyDescent="0.25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x14ac:dyDescent="0.25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x14ac:dyDescent="0.25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x14ac:dyDescent="0.25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x14ac:dyDescent="0.25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x14ac:dyDescent="0.25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x14ac:dyDescent="0.25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x14ac:dyDescent="0.25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x14ac:dyDescent="0.25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x14ac:dyDescent="0.25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x14ac:dyDescent="0.25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x14ac:dyDescent="0.25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x14ac:dyDescent="0.25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x14ac:dyDescent="0.25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x14ac:dyDescent="0.25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x14ac:dyDescent="0.25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x14ac:dyDescent="0.25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x14ac:dyDescent="0.25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x14ac:dyDescent="0.25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x14ac:dyDescent="0.25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x14ac:dyDescent="0.25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x14ac:dyDescent="0.25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x14ac:dyDescent="0.25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x14ac:dyDescent="0.25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x14ac:dyDescent="0.25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x14ac:dyDescent="0.25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x14ac:dyDescent="0.25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x14ac:dyDescent="0.25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x14ac:dyDescent="0.25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x14ac:dyDescent="0.25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x14ac:dyDescent="0.25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x14ac:dyDescent="0.25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x14ac:dyDescent="0.25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x14ac:dyDescent="0.25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x14ac:dyDescent="0.25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x14ac:dyDescent="0.25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x14ac:dyDescent="0.25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x14ac:dyDescent="0.25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x14ac:dyDescent="0.25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x14ac:dyDescent="0.25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x14ac:dyDescent="0.25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x14ac:dyDescent="0.25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x14ac:dyDescent="0.25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x14ac:dyDescent="0.25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x14ac:dyDescent="0.25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x14ac:dyDescent="0.25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x14ac:dyDescent="0.25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x14ac:dyDescent="0.25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x14ac:dyDescent="0.25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x14ac:dyDescent="0.25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x14ac:dyDescent="0.25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x14ac:dyDescent="0.25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x14ac:dyDescent="0.25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x14ac:dyDescent="0.25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x14ac:dyDescent="0.25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x14ac:dyDescent="0.25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x14ac:dyDescent="0.25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x14ac:dyDescent="0.25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x14ac:dyDescent="0.25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x14ac:dyDescent="0.25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x14ac:dyDescent="0.25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x14ac:dyDescent="0.25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x14ac:dyDescent="0.25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x14ac:dyDescent="0.25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x14ac:dyDescent="0.25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x14ac:dyDescent="0.25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x14ac:dyDescent="0.25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x14ac:dyDescent="0.25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x14ac:dyDescent="0.25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x14ac:dyDescent="0.25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x14ac:dyDescent="0.25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x14ac:dyDescent="0.25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x14ac:dyDescent="0.25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x14ac:dyDescent="0.25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x14ac:dyDescent="0.25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x14ac:dyDescent="0.25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x14ac:dyDescent="0.25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x14ac:dyDescent="0.25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x14ac:dyDescent="0.25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x14ac:dyDescent="0.25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x14ac:dyDescent="0.25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x14ac:dyDescent="0.25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x14ac:dyDescent="0.25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x14ac:dyDescent="0.25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x14ac:dyDescent="0.25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x14ac:dyDescent="0.25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x14ac:dyDescent="0.25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x14ac:dyDescent="0.25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x14ac:dyDescent="0.25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x14ac:dyDescent="0.25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x14ac:dyDescent="0.25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x14ac:dyDescent="0.25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x14ac:dyDescent="0.25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x14ac:dyDescent="0.25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x14ac:dyDescent="0.25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x14ac:dyDescent="0.25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x14ac:dyDescent="0.25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x14ac:dyDescent="0.25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126:F126"/>
    <mergeCell ref="H126:M126"/>
    <mergeCell ref="A137:F137"/>
    <mergeCell ref="H137:M137"/>
    <mergeCell ref="C138:F138"/>
    <mergeCell ref="J138:M138"/>
  </mergeCells>
  <conditionalFormatting sqref="D2:M2">
    <cfRule type="containsText" dxfId="25" priority="1" operator="containsText" text="OK">
      <formula>NOT(ISERROR(SEARCH(("OK"),(D2))))</formula>
    </cfRule>
  </conditionalFormatting>
  <conditionalFormatting sqref="D2:M2">
    <cfRule type="containsText" dxfId="24" priority="2" operator="containsText" text="ERROR">
      <formula>NOT(ISERROR(SEARCH(("ERROR"),(D2))))</formula>
    </cfRule>
  </conditionalFormatting>
  <conditionalFormatting sqref="D4:M4">
    <cfRule type="containsText" dxfId="23" priority="3" operator="containsText" text="OK">
      <formula>NOT(ISERROR(SEARCH(("OK"),(D4))))</formula>
    </cfRule>
  </conditionalFormatting>
  <conditionalFormatting sqref="D4:M4">
    <cfRule type="containsText" dxfId="22" priority="4" operator="containsText" text="ERROR">
      <formula>NOT(ISERROR(SEARCH(("ERROR"),(D4))))</formula>
    </cfRule>
  </conditionalFormatting>
  <conditionalFormatting sqref="D60:M60">
    <cfRule type="containsText" dxfId="21" priority="5" operator="containsText" text="OK">
      <formula>NOT(ISERROR(SEARCH(("OK"),(D60))))</formula>
    </cfRule>
  </conditionalFormatting>
  <conditionalFormatting sqref="D60:M60">
    <cfRule type="containsText" dxfId="20" priority="6" operator="containsText" text="ERROR">
      <formula>NOT(ISERROR(SEARCH(("ERROR"),(D60))))</formula>
    </cfRule>
  </conditionalFormatting>
  <dataValidations count="2">
    <dataValidation type="list" allowBlank="1" showErrorMessage="1" sqref="H6" xr:uid="{00000000-0002-0000-0000-000000000000}">
      <formula1>$I$6:$M$6</formula1>
    </dataValidation>
    <dataValidation type="list" allowBlank="1" showErrorMessage="1" sqref="D19:D20" xr:uid="{00000000-0002-0000-0000-000001000000}">
      <formula1>"Yes,No"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ySplit="6" topLeftCell="A181" activePane="bottomLeft" state="frozen"/>
      <selection pane="bottomLeft" activeCell="H118" sqref="H118"/>
    </sheetView>
  </sheetViews>
  <sheetFormatPr defaultColWidth="12.5703125" defaultRowHeight="15" customHeight="1" outlineLevelRow="1" x14ac:dyDescent="0.2"/>
  <cols>
    <col min="1" max="14" width="14.42578125" customWidth="1"/>
    <col min="15" max="26" width="9.140625" customWidth="1"/>
  </cols>
  <sheetData>
    <row r="1" spans="1:26" ht="15.75" x14ac:dyDescent="0.25">
      <c r="A1" s="97"/>
      <c r="B1" s="98"/>
      <c r="C1" s="99"/>
      <c r="D1" s="100"/>
      <c r="E1" s="100"/>
      <c r="F1" s="100"/>
      <c r="G1" s="100"/>
      <c r="H1" s="101"/>
      <c r="I1" s="174" t="s">
        <v>154</v>
      </c>
      <c r="J1" s="170"/>
      <c r="K1" s="170"/>
      <c r="L1" s="170"/>
      <c r="M1" s="170"/>
      <c r="N1" s="17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 x14ac:dyDescent="0.35">
      <c r="A2" s="1" t="s">
        <v>155</v>
      </c>
      <c r="B2" s="2"/>
      <c r="C2" s="3"/>
      <c r="D2" s="102"/>
      <c r="E2" s="102"/>
      <c r="F2" s="102"/>
      <c r="G2" s="102"/>
      <c r="H2" s="103" t="s">
        <v>156</v>
      </c>
      <c r="I2" s="5">
        <f>'Acquirer Model'!I2</f>
        <v>2025</v>
      </c>
      <c r="J2" s="5">
        <f>'Acquirer Model'!J2</f>
        <v>2026</v>
      </c>
      <c r="K2" s="5">
        <f>'Acquirer Model'!K2</f>
        <v>2027</v>
      </c>
      <c r="L2" s="5">
        <f>'Acquirer Model'!L2</f>
        <v>2028</v>
      </c>
      <c r="M2" s="5">
        <f>'Acquirer Model'!M2</f>
        <v>2029</v>
      </c>
      <c r="N2" s="5">
        <f>'Acquirer Model'!N2</f>
        <v>2030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outlineLevel="1" x14ac:dyDescent="0.25">
      <c r="A3" s="50" t="s">
        <v>157</v>
      </c>
      <c r="B3" s="50"/>
      <c r="C3" s="54"/>
      <c r="D3" s="8"/>
      <c r="E3" s="8"/>
      <c r="F3" s="8"/>
      <c r="G3" s="8"/>
      <c r="H3" s="8" t="str">
        <f t="shared" ref="H3:N3" ca="1" si="0">IFERROR(IF(ABS(H71)&gt;1,"ERROR","ok"),"ok")</f>
        <v>ok</v>
      </c>
      <c r="I3" s="8" t="str">
        <f t="shared" ca="1" si="0"/>
        <v>ok</v>
      </c>
      <c r="J3" s="8" t="str">
        <f t="shared" ca="1" si="0"/>
        <v>ok</v>
      </c>
      <c r="K3" s="8" t="str">
        <f t="shared" ca="1" si="0"/>
        <v>ok</v>
      </c>
      <c r="L3" s="8" t="str">
        <f t="shared" ca="1" si="0"/>
        <v>ok</v>
      </c>
      <c r="M3" s="8" t="str">
        <f t="shared" ca="1" si="0"/>
        <v>ok</v>
      </c>
      <c r="N3" s="8" t="str">
        <f t="shared" ca="1" si="0"/>
        <v>ok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outlineLevel="1" x14ac:dyDescent="0.25">
      <c r="A4" s="104" t="s">
        <v>158</v>
      </c>
      <c r="B4" s="6"/>
      <c r="C4" s="7"/>
      <c r="D4" s="105"/>
      <c r="E4" s="106"/>
      <c r="F4" s="106"/>
      <c r="G4" s="105"/>
      <c r="H4" s="105">
        <v>45838</v>
      </c>
      <c r="I4" s="105">
        <v>46022</v>
      </c>
      <c r="J4" s="105">
        <v>46387</v>
      </c>
      <c r="K4" s="105">
        <v>46752</v>
      </c>
      <c r="L4" s="105">
        <v>47118</v>
      </c>
      <c r="M4" s="105">
        <v>47483</v>
      </c>
      <c r="N4" s="105">
        <v>47848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outlineLevel="1" x14ac:dyDescent="0.25">
      <c r="A5" s="104" t="s">
        <v>159</v>
      </c>
      <c r="B5" s="6"/>
      <c r="C5" s="7"/>
      <c r="D5" s="107"/>
      <c r="E5" s="108"/>
      <c r="F5" s="108"/>
      <c r="G5" s="107"/>
      <c r="H5" s="8">
        <f>I4-H4</f>
        <v>184</v>
      </c>
      <c r="I5" s="8">
        <f>365-H5</f>
        <v>181</v>
      </c>
      <c r="J5" s="107">
        <v>365</v>
      </c>
      <c r="K5" s="107">
        <v>365</v>
      </c>
      <c r="L5" s="107">
        <v>366</v>
      </c>
      <c r="M5" s="107">
        <v>365</v>
      </c>
      <c r="N5" s="107">
        <v>365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outlineLevel="1" x14ac:dyDescent="0.25">
      <c r="A6" s="104" t="s">
        <v>160</v>
      </c>
      <c r="B6" s="6"/>
      <c r="C6" s="7"/>
      <c r="D6" s="109"/>
      <c r="E6" s="110"/>
      <c r="F6" s="110"/>
      <c r="G6" s="109"/>
      <c r="H6" s="109">
        <v>0.5</v>
      </c>
      <c r="I6" s="109">
        <v>0.5</v>
      </c>
      <c r="J6" s="109">
        <v>1</v>
      </c>
      <c r="K6" s="109">
        <v>1</v>
      </c>
      <c r="L6" s="109">
        <v>1</v>
      </c>
      <c r="M6" s="109">
        <v>1</v>
      </c>
      <c r="N6" s="109">
        <v>1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x14ac:dyDescent="0.35">
      <c r="A8" s="9" t="s">
        <v>0</v>
      </c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outlineLevel="1" x14ac:dyDescent="0.25">
      <c r="A9" s="6"/>
      <c r="B9" s="6"/>
      <c r="C9" s="7"/>
      <c r="D9" s="6"/>
      <c r="E9" s="6"/>
      <c r="F9" s="6"/>
      <c r="G9" s="6"/>
      <c r="H9" s="6"/>
      <c r="I9" s="19"/>
      <c r="J9" s="19"/>
      <c r="K9" s="19"/>
      <c r="L9" s="19"/>
      <c r="M9" s="19"/>
      <c r="N9" s="1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outlineLevel="1" x14ac:dyDescent="0.25">
      <c r="A10" s="25"/>
      <c r="B10" s="6"/>
      <c r="C10" s="7"/>
      <c r="D10" s="6"/>
      <c r="E10" s="6"/>
      <c r="F10" s="6"/>
      <c r="G10" s="6"/>
      <c r="H10" s="6"/>
      <c r="I10" s="19"/>
      <c r="J10" s="19"/>
      <c r="K10" s="19"/>
      <c r="L10" s="19"/>
      <c r="M10" s="19"/>
      <c r="N10" s="1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outlineLevel="1" x14ac:dyDescent="0.25">
      <c r="A11" s="25" t="s">
        <v>161</v>
      </c>
      <c r="B11" s="6"/>
      <c r="C11" s="7"/>
      <c r="D11" s="6"/>
      <c r="E11" s="6"/>
      <c r="F11" s="6"/>
      <c r="G11" s="8" t="s">
        <v>114</v>
      </c>
      <c r="H11" s="6"/>
      <c r="I11" s="19"/>
      <c r="J11" s="19"/>
      <c r="K11" s="19"/>
      <c r="L11" s="19"/>
      <c r="M11" s="19"/>
      <c r="N11" s="1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outlineLevel="1" x14ac:dyDescent="0.25">
      <c r="A12" s="6" t="s">
        <v>34</v>
      </c>
      <c r="B12" s="6"/>
      <c r="C12" s="7"/>
      <c r="D12" s="6"/>
      <c r="E12" s="6"/>
      <c r="F12" s="6"/>
      <c r="G12" s="111">
        <f t="shared" ref="G12:G14" si="1">SUM(H12:N12)</f>
        <v>1</v>
      </c>
      <c r="H12" s="112">
        <v>0</v>
      </c>
      <c r="I12" s="112">
        <v>0.25</v>
      </c>
      <c r="J12" s="112">
        <v>0.25</v>
      </c>
      <c r="K12" s="112">
        <v>0.25</v>
      </c>
      <c r="L12" s="112">
        <v>0.25</v>
      </c>
      <c r="M12" s="112">
        <v>0</v>
      </c>
      <c r="N12" s="112"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outlineLevel="1" x14ac:dyDescent="0.25">
      <c r="A13" s="6" t="s">
        <v>35</v>
      </c>
      <c r="B13" s="6"/>
      <c r="C13" s="7"/>
      <c r="D13" s="6"/>
      <c r="E13" s="6"/>
      <c r="F13" s="6"/>
      <c r="G13" s="111">
        <f t="shared" si="1"/>
        <v>1</v>
      </c>
      <c r="H13" s="112">
        <v>0</v>
      </c>
      <c r="I13" s="112">
        <v>0</v>
      </c>
      <c r="J13" s="112">
        <v>0.2</v>
      </c>
      <c r="K13" s="112">
        <v>0.2</v>
      </c>
      <c r="L13" s="112">
        <v>0.2</v>
      </c>
      <c r="M13" s="112">
        <v>0.2</v>
      </c>
      <c r="N13" s="112">
        <v>0.2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outlineLevel="1" x14ac:dyDescent="0.25">
      <c r="A14" s="6" t="s">
        <v>37</v>
      </c>
      <c r="B14" s="6"/>
      <c r="C14" s="7"/>
      <c r="D14" s="6"/>
      <c r="E14" s="6"/>
      <c r="F14" s="6"/>
      <c r="G14" s="111">
        <f t="shared" si="1"/>
        <v>1</v>
      </c>
      <c r="H14" s="112">
        <v>0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outlineLevel="1" x14ac:dyDescent="0.25">
      <c r="A15" s="6"/>
      <c r="B15" s="6"/>
      <c r="C15" s="7"/>
      <c r="D15" s="6"/>
      <c r="E15" s="6"/>
      <c r="F15" s="6"/>
      <c r="G15" s="6"/>
      <c r="H15" s="113"/>
      <c r="I15" s="113"/>
      <c r="J15" s="113"/>
      <c r="K15" s="113"/>
      <c r="L15" s="113"/>
      <c r="M15" s="113"/>
      <c r="N15" s="113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outlineLevel="1" x14ac:dyDescent="0.25">
      <c r="A16" s="6"/>
      <c r="B16" s="6"/>
      <c r="C16" s="7"/>
      <c r="D16" s="6"/>
      <c r="E16" s="6"/>
      <c r="F16" s="6"/>
      <c r="G16" s="6"/>
      <c r="H16" s="113"/>
      <c r="I16" s="113"/>
      <c r="J16" s="113"/>
      <c r="K16" s="113"/>
      <c r="L16" s="113"/>
      <c r="M16" s="113"/>
      <c r="N16" s="11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outlineLevel="1" x14ac:dyDescent="0.25">
      <c r="A17" s="6" t="s">
        <v>162</v>
      </c>
      <c r="B17" s="114"/>
      <c r="C17" s="115"/>
      <c r="D17" s="114"/>
      <c r="E17" s="34"/>
      <c r="F17" s="34"/>
      <c r="G17" s="34"/>
      <c r="H17" s="116"/>
      <c r="I17" s="116"/>
      <c r="J17" s="116"/>
      <c r="K17" s="116"/>
      <c r="L17" s="116"/>
      <c r="M17" s="116"/>
      <c r="N17" s="11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outlineLevel="1" x14ac:dyDescent="0.25">
      <c r="A18" s="6" t="s">
        <v>163</v>
      </c>
      <c r="B18" s="19"/>
      <c r="C18" s="117"/>
      <c r="D18" s="34"/>
      <c r="E18" s="34"/>
      <c r="F18" s="34"/>
      <c r="G18" s="34"/>
      <c r="H18" s="116"/>
      <c r="I18" s="116"/>
      <c r="J18" s="116"/>
      <c r="K18" s="116"/>
      <c r="L18" s="116"/>
      <c r="M18" s="116"/>
      <c r="N18" s="11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outlineLevel="1" x14ac:dyDescent="0.25">
      <c r="A19" s="6" t="s">
        <v>164</v>
      </c>
      <c r="B19" s="19"/>
      <c r="C19" s="117"/>
      <c r="D19" s="34"/>
      <c r="E19" s="34"/>
      <c r="F19" s="34"/>
      <c r="G19" s="34"/>
      <c r="H19" s="116"/>
      <c r="I19" s="116"/>
      <c r="J19" s="116"/>
      <c r="K19" s="116"/>
      <c r="L19" s="116"/>
      <c r="M19" s="116"/>
      <c r="N19" s="11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outlineLevel="1" x14ac:dyDescent="0.25">
      <c r="A20" s="6"/>
      <c r="B20" s="19"/>
      <c r="C20" s="117"/>
      <c r="D20" s="34"/>
      <c r="E20" s="34"/>
      <c r="F20" s="34"/>
      <c r="G20" s="34"/>
      <c r="H20" s="116"/>
      <c r="I20" s="116"/>
      <c r="J20" s="116"/>
      <c r="K20" s="116"/>
      <c r="L20" s="116"/>
      <c r="M20" s="116"/>
      <c r="N20" s="11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outlineLevel="1" x14ac:dyDescent="0.25">
      <c r="A21" s="6" t="s">
        <v>165</v>
      </c>
      <c r="B21" s="19"/>
      <c r="C21" s="117"/>
      <c r="D21" s="34"/>
      <c r="E21" s="34"/>
      <c r="F21" s="34"/>
      <c r="G21" s="34"/>
      <c r="H21" s="116"/>
      <c r="I21" s="118">
        <v>0.2</v>
      </c>
      <c r="J21" s="118">
        <v>0.2</v>
      </c>
      <c r="K21" s="118">
        <v>0.2</v>
      </c>
      <c r="L21" s="118">
        <v>0.2</v>
      </c>
      <c r="M21" s="118">
        <v>0.2</v>
      </c>
      <c r="N21" s="118">
        <v>0.2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outlineLevel="1" x14ac:dyDescent="0.25">
      <c r="A22" s="6" t="s">
        <v>166</v>
      </c>
      <c r="B22" s="55"/>
      <c r="C22" s="119"/>
      <c r="D22" s="34"/>
      <c r="E22" s="34"/>
      <c r="F22" s="34"/>
      <c r="G22" s="34"/>
      <c r="H22" s="116"/>
      <c r="I22" s="118">
        <v>0.3</v>
      </c>
      <c r="J22" s="118">
        <v>0.3</v>
      </c>
      <c r="K22" s="118">
        <v>0.3</v>
      </c>
      <c r="L22" s="118">
        <v>0.3</v>
      </c>
      <c r="M22" s="118">
        <v>0.3</v>
      </c>
      <c r="N22" s="118">
        <v>0.3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outlineLevel="1" x14ac:dyDescent="0.25">
      <c r="A23" s="6" t="s">
        <v>167</v>
      </c>
      <c r="B23" s="19"/>
      <c r="C23" s="120"/>
      <c r="D23" s="19"/>
      <c r="E23" s="19"/>
      <c r="F23" s="19"/>
      <c r="G23" s="19"/>
      <c r="H23" s="113"/>
      <c r="I23" s="121">
        <v>18</v>
      </c>
      <c r="J23" s="121">
        <v>18</v>
      </c>
      <c r="K23" s="121">
        <v>18</v>
      </c>
      <c r="L23" s="121">
        <v>18</v>
      </c>
      <c r="M23" s="121">
        <v>18</v>
      </c>
      <c r="N23" s="121">
        <v>18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outlineLevel="1" x14ac:dyDescent="0.25">
      <c r="A24" s="6" t="s">
        <v>168</v>
      </c>
      <c r="B24" s="19"/>
      <c r="C24" s="120"/>
      <c r="D24" s="19"/>
      <c r="E24" s="19"/>
      <c r="F24" s="19"/>
      <c r="G24" s="19"/>
      <c r="H24" s="113"/>
      <c r="I24" s="121">
        <v>80</v>
      </c>
      <c r="J24" s="121">
        <v>90</v>
      </c>
      <c r="K24" s="121">
        <v>100</v>
      </c>
      <c r="L24" s="121">
        <v>100</v>
      </c>
      <c r="M24" s="121">
        <v>100</v>
      </c>
      <c r="N24" s="121">
        <v>100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outlineLevel="1" x14ac:dyDescent="0.25">
      <c r="A25" s="6" t="s">
        <v>169</v>
      </c>
      <c r="B25" s="19"/>
      <c r="C25" s="120"/>
      <c r="D25" s="19"/>
      <c r="E25" s="19"/>
      <c r="F25" s="19"/>
      <c r="G25" s="19"/>
      <c r="H25" s="113"/>
      <c r="I25" s="121">
        <v>37</v>
      </c>
      <c r="J25" s="121">
        <v>37</v>
      </c>
      <c r="K25" s="121">
        <v>37</v>
      </c>
      <c r="L25" s="121">
        <v>37</v>
      </c>
      <c r="M25" s="121">
        <v>37</v>
      </c>
      <c r="N25" s="121">
        <v>37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outlineLevel="1" x14ac:dyDescent="0.25">
      <c r="A26" s="6"/>
      <c r="B26" s="19"/>
      <c r="C26" s="120"/>
      <c r="D26" s="19"/>
      <c r="E26" s="19"/>
      <c r="F26" s="19"/>
      <c r="G26" s="19"/>
      <c r="H26" s="113"/>
      <c r="I26" s="113"/>
      <c r="J26" s="113"/>
      <c r="K26" s="113"/>
      <c r="L26" s="113"/>
      <c r="M26" s="113"/>
      <c r="N26" s="113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outlineLevel="1" x14ac:dyDescent="0.25">
      <c r="A27" s="6" t="s">
        <v>170</v>
      </c>
      <c r="B27" s="19"/>
      <c r="C27" s="117"/>
      <c r="D27" s="19"/>
      <c r="E27" s="19"/>
      <c r="F27" s="19"/>
      <c r="G27" s="19"/>
      <c r="H27" s="113"/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outlineLevel="1" x14ac:dyDescent="0.25">
      <c r="A28" s="6" t="s">
        <v>171</v>
      </c>
      <c r="B28" s="19"/>
      <c r="C28" s="117"/>
      <c r="D28" s="19"/>
      <c r="E28" s="19"/>
      <c r="F28" s="19"/>
      <c r="G28" s="19"/>
      <c r="H28" s="113"/>
      <c r="I28" s="121">
        <v>0</v>
      </c>
      <c r="J28" s="121">
        <v>0</v>
      </c>
      <c r="K28" s="121">
        <v>0</v>
      </c>
      <c r="L28" s="121">
        <v>500</v>
      </c>
      <c r="M28" s="121">
        <v>500</v>
      </c>
      <c r="N28" s="121">
        <v>500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outlineLevel="1" x14ac:dyDescent="0.25">
      <c r="A29" s="6"/>
      <c r="B29" s="6"/>
      <c r="C29" s="7"/>
      <c r="D29" s="6"/>
      <c r="E29" s="6"/>
      <c r="F29" s="6"/>
      <c r="G29" s="6"/>
      <c r="H29" s="6"/>
      <c r="I29" s="19"/>
      <c r="J29" s="19"/>
      <c r="K29" s="19"/>
      <c r="L29" s="19"/>
      <c r="M29" s="19"/>
      <c r="N29" s="19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x14ac:dyDescent="0.25">
      <c r="A30" s="6"/>
      <c r="B30" s="6"/>
      <c r="C30" s="7"/>
      <c r="D30" s="6"/>
      <c r="E30" s="6"/>
      <c r="F30" s="6"/>
      <c r="G30" s="6"/>
      <c r="H30" s="6"/>
      <c r="I30" s="19"/>
      <c r="J30" s="19"/>
      <c r="K30" s="19"/>
      <c r="L30" s="19"/>
      <c r="M30" s="19"/>
      <c r="N30" s="19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1" x14ac:dyDescent="0.35">
      <c r="A31" s="9" t="s">
        <v>172</v>
      </c>
      <c r="B31" s="10"/>
      <c r="C31" s="1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outlineLevel="1" x14ac:dyDescent="0.25">
      <c r="A32" s="25"/>
      <c r="B32" s="25"/>
      <c r="C32" s="122"/>
      <c r="D32" s="114"/>
      <c r="E32" s="114"/>
      <c r="F32" s="114"/>
      <c r="G32" s="114"/>
      <c r="H32" s="114"/>
      <c r="I32" s="25"/>
      <c r="J32" s="25"/>
      <c r="K32" s="25"/>
      <c r="L32" s="25"/>
      <c r="M32" s="25"/>
      <c r="N32" s="2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outlineLevel="1" x14ac:dyDescent="0.25">
      <c r="A33" s="25" t="s">
        <v>173</v>
      </c>
      <c r="B33" s="25"/>
      <c r="C33" s="122"/>
      <c r="D33" s="48"/>
      <c r="E33" s="48"/>
      <c r="F33" s="48"/>
      <c r="G33" s="48"/>
      <c r="H33" s="48"/>
      <c r="I33" s="6">
        <f t="shared" ref="I33:N33" si="2">+I208</f>
        <v>131476.29130824373</v>
      </c>
      <c r="J33" s="6">
        <f t="shared" ca="1" si="2"/>
        <v>295753.01000896061</v>
      </c>
      <c r="K33" s="6">
        <f t="shared" ca="1" si="2"/>
        <v>329321.68881003588</v>
      </c>
      <c r="L33" s="6">
        <f t="shared" ca="1" si="2"/>
        <v>361814.58237103949</v>
      </c>
      <c r="M33" s="6">
        <f t="shared" ca="1" si="2"/>
        <v>390319.7489607227</v>
      </c>
      <c r="N33" s="6">
        <f t="shared" ca="1" si="2"/>
        <v>415771.30980507005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outlineLevel="1" x14ac:dyDescent="0.25">
      <c r="A34" s="6" t="s">
        <v>174</v>
      </c>
      <c r="B34" s="6"/>
      <c r="C34" s="7"/>
      <c r="D34" s="48"/>
      <c r="E34" s="48"/>
      <c r="F34" s="48"/>
      <c r="G34" s="48"/>
      <c r="H34" s="48"/>
      <c r="I34" s="6">
        <f t="shared" ref="I34:N34" si="3">+I214</f>
        <v>55220.042349462368</v>
      </c>
      <c r="J34" s="6">
        <f t="shared" ca="1" si="3"/>
        <v>123968.41650367384</v>
      </c>
      <c r="K34" s="6">
        <f t="shared" ca="1" si="3"/>
        <v>137757.02680401434</v>
      </c>
      <c r="L34" s="6">
        <f t="shared" ca="1" si="3"/>
        <v>152587.7584424158</v>
      </c>
      <c r="M34" s="6">
        <f t="shared" ca="1" si="3"/>
        <v>167227.15502451308</v>
      </c>
      <c r="N34" s="6">
        <f t="shared" ca="1" si="3"/>
        <v>178399.9772430677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outlineLevel="1" x14ac:dyDescent="0.25">
      <c r="A35" s="35" t="s">
        <v>175</v>
      </c>
      <c r="B35" s="35"/>
      <c r="C35" s="49"/>
      <c r="D35" s="35"/>
      <c r="E35" s="35"/>
      <c r="F35" s="35"/>
      <c r="G35" s="35"/>
      <c r="H35" s="35"/>
      <c r="I35" s="35">
        <f t="shared" ref="I35:N35" si="4">+I33-I34</f>
        <v>76256.248958781362</v>
      </c>
      <c r="J35" s="35">
        <f t="shared" ca="1" si="4"/>
        <v>171784.59350528679</v>
      </c>
      <c r="K35" s="35">
        <f t="shared" ca="1" si="4"/>
        <v>191564.66200602154</v>
      </c>
      <c r="L35" s="35">
        <f t="shared" ca="1" si="4"/>
        <v>209226.82392862369</v>
      </c>
      <c r="M35" s="35">
        <f t="shared" ca="1" si="4"/>
        <v>223092.59393620963</v>
      </c>
      <c r="N35" s="35">
        <f t="shared" ca="1" si="4"/>
        <v>237371.33256200235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outlineLevel="1" x14ac:dyDescent="0.25">
      <c r="A36" s="25" t="s">
        <v>176</v>
      </c>
      <c r="B36" s="25"/>
      <c r="C36" s="122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outlineLevel="1" x14ac:dyDescent="0.25">
      <c r="A37" s="6" t="s">
        <v>177</v>
      </c>
      <c r="B37" s="6"/>
      <c r="C37" s="7"/>
      <c r="D37" s="48"/>
      <c r="E37" s="48"/>
      <c r="F37" s="48"/>
      <c r="G37" s="48"/>
      <c r="H37" s="48"/>
      <c r="I37" s="6">
        <f t="shared" ref="I37:N37" si="5">+I220</f>
        <v>21865.452609319</v>
      </c>
      <c r="J37" s="6">
        <f t="shared" ca="1" si="5"/>
        <v>48505.822801433693</v>
      </c>
      <c r="K37" s="6">
        <f t="shared" ca="1" si="5"/>
        <v>53313.745529605745</v>
      </c>
      <c r="L37" s="6">
        <f t="shared" ca="1" si="5"/>
        <v>57947.718278166321</v>
      </c>
      <c r="M37" s="6">
        <f t="shared" ca="1" si="5"/>
        <v>62683.535740419633</v>
      </c>
      <c r="N37" s="6">
        <f t="shared" ca="1" si="5"/>
        <v>66921.151788984484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outlineLevel="1" x14ac:dyDescent="0.25">
      <c r="A38" s="6" t="s">
        <v>178</v>
      </c>
      <c r="B38" s="6"/>
      <c r="C38" s="7"/>
      <c r="D38" s="48"/>
      <c r="E38" s="48"/>
      <c r="F38" s="48"/>
      <c r="G38" s="48"/>
      <c r="H38" s="48"/>
      <c r="I38" s="6">
        <f t="shared" ref="I38:N38" si="6">+I226</f>
        <v>11000</v>
      </c>
      <c r="J38" s="6">
        <f t="shared" ca="1" si="6"/>
        <v>21700</v>
      </c>
      <c r="K38" s="6">
        <f t="shared" ca="1" si="6"/>
        <v>21350</v>
      </c>
      <c r="L38" s="6">
        <f t="shared" ca="1" si="6"/>
        <v>21000</v>
      </c>
      <c r="M38" s="6">
        <f t="shared" ca="1" si="6"/>
        <v>21000</v>
      </c>
      <c r="N38" s="6">
        <f t="shared" ca="1" si="6"/>
        <v>21000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outlineLevel="1" x14ac:dyDescent="0.25">
      <c r="A39" s="6" t="s">
        <v>179</v>
      </c>
      <c r="B39" s="6"/>
      <c r="C39" s="7"/>
      <c r="D39" s="48"/>
      <c r="E39" s="48"/>
      <c r="F39" s="48"/>
      <c r="G39" s="48"/>
      <c r="H39" s="48"/>
      <c r="I39" s="6">
        <f t="shared" ref="I39:N39" si="7">+I111</f>
        <v>4126.8945000000003</v>
      </c>
      <c r="J39" s="6">
        <f t="shared" si="7"/>
        <v>9503.4100999999991</v>
      </c>
      <c r="K39" s="6">
        <f t="shared" si="7"/>
        <v>11752.728080000001</v>
      </c>
      <c r="L39" s="6">
        <f t="shared" si="7"/>
        <v>13552.182464000001</v>
      </c>
      <c r="M39" s="6">
        <f t="shared" si="7"/>
        <v>14991.745971200002</v>
      </c>
      <c r="N39" s="6">
        <f t="shared" si="7"/>
        <v>16143.396776960002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outlineLevel="1" x14ac:dyDescent="0.25">
      <c r="A40" s="20" t="s">
        <v>180</v>
      </c>
      <c r="B40" s="20"/>
      <c r="C40" s="21"/>
      <c r="D40" s="48"/>
      <c r="E40" s="48"/>
      <c r="F40" s="48"/>
      <c r="G40" s="48"/>
      <c r="H40" s="48"/>
      <c r="I40" s="20">
        <f t="shared" ref="I40:N40" ca="1" si="8">+I160</f>
        <v>672.04</v>
      </c>
      <c r="J40" s="20">
        <f t="shared" ca="1" si="8"/>
        <v>1344.08</v>
      </c>
      <c r="K40" s="20">
        <f t="shared" ca="1" si="8"/>
        <v>1344.08</v>
      </c>
      <c r="L40" s="20">
        <f t="shared" ca="1" si="8"/>
        <v>1344.08</v>
      </c>
      <c r="M40" s="20">
        <f t="shared" ca="1" si="8"/>
        <v>1344.08</v>
      </c>
      <c r="N40" s="20">
        <f t="shared" ca="1" si="8"/>
        <v>1344.08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outlineLevel="1" x14ac:dyDescent="0.25">
      <c r="A41" s="25" t="s">
        <v>181</v>
      </c>
      <c r="B41" s="6"/>
      <c r="C41" s="7"/>
      <c r="D41" s="64"/>
      <c r="E41" s="64"/>
      <c r="F41" s="64"/>
      <c r="G41" s="64"/>
      <c r="H41" s="64"/>
      <c r="I41" s="25">
        <f t="shared" ref="I41:N41" ca="1" si="9">SUM(I37:I40)</f>
        <v>37664.387109319003</v>
      </c>
      <c r="J41" s="25">
        <f t="shared" ca="1" si="9"/>
        <v>81053.312901433688</v>
      </c>
      <c r="K41" s="25">
        <f t="shared" ca="1" si="9"/>
        <v>87760.553609605748</v>
      </c>
      <c r="L41" s="25">
        <f t="shared" ca="1" si="9"/>
        <v>93843.980742166314</v>
      </c>
      <c r="M41" s="25">
        <f t="shared" ca="1" si="9"/>
        <v>100019.36171161964</v>
      </c>
      <c r="N41" s="25">
        <f t="shared" ca="1" si="9"/>
        <v>105408.62856594448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outlineLevel="1" x14ac:dyDescent="0.25">
      <c r="A42" s="35" t="s">
        <v>182</v>
      </c>
      <c r="B42" s="35"/>
      <c r="C42" s="49"/>
      <c r="D42" s="35"/>
      <c r="E42" s="35"/>
      <c r="F42" s="35"/>
      <c r="G42" s="35"/>
      <c r="H42" s="35"/>
      <c r="I42" s="35">
        <f t="shared" ref="I42:N42" ca="1" si="10">+I35-I41</f>
        <v>38591.861849462359</v>
      </c>
      <c r="J42" s="35">
        <f t="shared" ca="1" si="10"/>
        <v>90731.280603853098</v>
      </c>
      <c r="K42" s="35">
        <f t="shared" ca="1" si="10"/>
        <v>103804.10839641579</v>
      </c>
      <c r="L42" s="35">
        <f t="shared" ca="1" si="10"/>
        <v>115382.84318645738</v>
      </c>
      <c r="M42" s="35">
        <f t="shared" ca="1" si="10"/>
        <v>123073.23222458998</v>
      </c>
      <c r="N42" s="35">
        <f t="shared" ca="1" si="10"/>
        <v>131962.70399605785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outlineLevel="1" x14ac:dyDescent="0.25">
      <c r="A43" s="25"/>
      <c r="B43" s="25"/>
      <c r="C43" s="122"/>
      <c r="D43" s="114"/>
      <c r="E43" s="114"/>
      <c r="F43" s="114"/>
      <c r="G43" s="114"/>
      <c r="H43" s="114"/>
      <c r="I43" s="25"/>
      <c r="J43" s="25"/>
      <c r="K43" s="25"/>
      <c r="L43" s="25"/>
      <c r="M43" s="25"/>
      <c r="N43" s="2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outlineLevel="1" x14ac:dyDescent="0.25">
      <c r="A44" s="6" t="s">
        <v>183</v>
      </c>
      <c r="B44" s="6"/>
      <c r="C44" s="7"/>
      <c r="D44" s="48"/>
      <c r="E44" s="48"/>
      <c r="F44" s="48"/>
      <c r="G44" s="48"/>
      <c r="H44" s="48"/>
      <c r="I44" s="124">
        <f t="shared" ref="I44:N44" ca="1" si="11">+IF(I42&gt;0,I42*I22,0)</f>
        <v>11577.558554838708</v>
      </c>
      <c r="J44" s="124">
        <f t="shared" ca="1" si="11"/>
        <v>27219.384181155929</v>
      </c>
      <c r="K44" s="124">
        <f t="shared" ca="1" si="11"/>
        <v>31141.232518924735</v>
      </c>
      <c r="L44" s="124">
        <f t="shared" ca="1" si="11"/>
        <v>34614.852955937211</v>
      </c>
      <c r="M44" s="124">
        <f t="shared" ca="1" si="11"/>
        <v>36921.969667376994</v>
      </c>
      <c r="N44" s="124">
        <f t="shared" ca="1" si="11"/>
        <v>39588.811198817355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outlineLevel="1" x14ac:dyDescent="0.25">
      <c r="A45" s="61" t="s">
        <v>184</v>
      </c>
      <c r="B45" s="61"/>
      <c r="C45" s="125"/>
      <c r="D45" s="61"/>
      <c r="E45" s="61"/>
      <c r="F45" s="61"/>
      <c r="G45" s="61"/>
      <c r="H45" s="61"/>
      <c r="I45" s="61">
        <f t="shared" ref="I45:N45" ca="1" si="12">+I42-I44</f>
        <v>27014.303294623649</v>
      </c>
      <c r="J45" s="61">
        <f t="shared" ca="1" si="12"/>
        <v>63511.896422697173</v>
      </c>
      <c r="K45" s="61">
        <f t="shared" ca="1" si="12"/>
        <v>72662.875877491053</v>
      </c>
      <c r="L45" s="61">
        <f t="shared" ca="1" si="12"/>
        <v>80767.990230520169</v>
      </c>
      <c r="M45" s="61">
        <f t="shared" ca="1" si="12"/>
        <v>86151.262557212991</v>
      </c>
      <c r="N45" s="61">
        <f t="shared" ca="1" si="12"/>
        <v>92373.892797240493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outlineLevel="1" x14ac:dyDescent="0.25">
      <c r="A46" s="6"/>
      <c r="B46" s="6"/>
      <c r="C46" s="7"/>
      <c r="D46" s="19"/>
      <c r="E46" s="19"/>
      <c r="F46" s="19"/>
      <c r="G46" s="19"/>
      <c r="H46" s="1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x14ac:dyDescent="0.25">
      <c r="A47" s="6"/>
      <c r="B47" s="6"/>
      <c r="C47" s="7"/>
      <c r="D47" s="19"/>
      <c r="E47" s="19"/>
      <c r="F47" s="19"/>
      <c r="G47" s="19"/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1" x14ac:dyDescent="0.35">
      <c r="A48" s="9" t="s">
        <v>185</v>
      </c>
      <c r="B48" s="10"/>
      <c r="C48" s="11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outlineLevel="1" x14ac:dyDescent="0.25">
      <c r="A49" s="6"/>
      <c r="B49" s="6"/>
      <c r="C49" s="7"/>
      <c r="D49" s="19"/>
      <c r="E49" s="19"/>
      <c r="F49" s="19"/>
      <c r="G49" s="19"/>
      <c r="H49" s="1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outlineLevel="1" x14ac:dyDescent="0.25">
      <c r="A50" s="25" t="s">
        <v>97</v>
      </c>
      <c r="B50" s="6"/>
      <c r="C50" s="7"/>
      <c r="D50" s="19"/>
      <c r="E50" s="19"/>
      <c r="F50" s="19"/>
      <c r="G50" s="19"/>
      <c r="H50" s="1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outlineLevel="1" x14ac:dyDescent="0.25">
      <c r="A51" s="6" t="s">
        <v>52</v>
      </c>
      <c r="B51" s="6"/>
      <c r="C51" s="126"/>
      <c r="D51" s="6"/>
      <c r="E51" s="6"/>
      <c r="F51" s="6"/>
      <c r="G51" s="48"/>
      <c r="H51" s="48">
        <f ca="1">+'M&amp;A Assumptions &amp; Analysis'!M66</f>
        <v>178399.35898553894</v>
      </c>
      <c r="I51" s="6">
        <f t="shared" ref="I51:N51" ca="1" si="13">+I95</f>
        <v>111704.14274032472</v>
      </c>
      <c r="J51" s="6">
        <f t="shared" ca="1" si="13"/>
        <v>157577.03985472757</v>
      </c>
      <c r="K51" s="6">
        <f t="shared" ca="1" si="13"/>
        <v>213810.85523036233</v>
      </c>
      <c r="L51" s="6">
        <f t="shared" ca="1" si="13"/>
        <v>282839.52405757504</v>
      </c>
      <c r="M51" s="6">
        <f t="shared" ca="1" si="13"/>
        <v>358679.28806807962</v>
      </c>
      <c r="N51" s="6">
        <f t="shared" ca="1" si="13"/>
        <v>432762.97245058918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outlineLevel="1" x14ac:dyDescent="0.25">
      <c r="A52" s="6" t="s">
        <v>98</v>
      </c>
      <c r="B52" s="6"/>
      <c r="C52" s="126"/>
      <c r="D52" s="48"/>
      <c r="E52" s="48"/>
      <c r="F52" s="48"/>
      <c r="G52" s="48"/>
      <c r="H52" s="48">
        <f>+'M&amp;A Assumptions &amp; Analysis'!M67</f>
        <v>8590.8725706354871</v>
      </c>
      <c r="I52" s="127">
        <f t="shared" ref="I52:N52" si="14">+I33*I23/I5</f>
        <v>13074.990295847443</v>
      </c>
      <c r="J52" s="127">
        <f t="shared" ca="1" si="14"/>
        <v>14585.079945647372</v>
      </c>
      <c r="K52" s="127">
        <f t="shared" ca="1" si="14"/>
        <v>16240.521639946975</v>
      </c>
      <c r="L52" s="127">
        <f t="shared" ca="1" si="14"/>
        <v>17794.159788739646</v>
      </c>
      <c r="M52" s="127">
        <f t="shared" ca="1" si="14"/>
        <v>19248.645154227423</v>
      </c>
      <c r="N52" s="127">
        <f t="shared" ca="1" si="14"/>
        <v>20503.790620524003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outlineLevel="1" x14ac:dyDescent="0.25">
      <c r="A53" s="6" t="s">
        <v>99</v>
      </c>
      <c r="B53" s="6"/>
      <c r="C53" s="126"/>
      <c r="D53" s="48"/>
      <c r="E53" s="48"/>
      <c r="F53" s="48"/>
      <c r="G53" s="48"/>
      <c r="H53" s="48">
        <f>+'M&amp;A Assumptions &amp; Analysis'!M68</f>
        <v>-62482.82609198401</v>
      </c>
      <c r="I53" s="124">
        <f t="shared" ref="I53:N53" si="15">+I34*I24/I5</f>
        <v>24406.648552248564</v>
      </c>
      <c r="J53" s="124">
        <f t="shared" ca="1" si="15"/>
        <v>30567.554754330533</v>
      </c>
      <c r="K53" s="124">
        <f t="shared" ca="1" si="15"/>
        <v>37741.651179182008</v>
      </c>
      <c r="L53" s="124">
        <f t="shared" ca="1" si="15"/>
        <v>41690.644383173712</v>
      </c>
      <c r="M53" s="124">
        <f t="shared" ca="1" si="15"/>
        <v>45815.658910825499</v>
      </c>
      <c r="N53" s="124">
        <f t="shared" ca="1" si="15"/>
        <v>48876.706093991146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outlineLevel="1" x14ac:dyDescent="0.25">
      <c r="A54" s="128" t="s">
        <v>100</v>
      </c>
      <c r="B54" s="26"/>
      <c r="C54" s="129"/>
      <c r="D54" s="35"/>
      <c r="E54" s="35"/>
      <c r="F54" s="35"/>
      <c r="G54" s="35"/>
      <c r="H54" s="35">
        <f t="shared" ref="H54:N54" ca="1" si="16">SUM(H51:H53)</f>
        <v>124507.40546419042</v>
      </c>
      <c r="I54" s="35">
        <f t="shared" ca="1" si="16"/>
        <v>149185.78158842074</v>
      </c>
      <c r="J54" s="35">
        <f t="shared" ca="1" si="16"/>
        <v>202729.67455470547</v>
      </c>
      <c r="K54" s="35">
        <f t="shared" ca="1" si="16"/>
        <v>267793.02804949129</v>
      </c>
      <c r="L54" s="35">
        <f t="shared" ca="1" si="16"/>
        <v>342324.3282294884</v>
      </c>
      <c r="M54" s="35">
        <f t="shared" ca="1" si="16"/>
        <v>423743.59213313257</v>
      </c>
      <c r="N54" s="35">
        <f t="shared" ca="1" si="16"/>
        <v>502143.46916510432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outlineLevel="1" x14ac:dyDescent="0.25">
      <c r="A55" s="6" t="s">
        <v>101</v>
      </c>
      <c r="B55" s="6"/>
      <c r="C55" s="7"/>
      <c r="D55" s="48"/>
      <c r="E55" s="48"/>
      <c r="F55" s="48"/>
      <c r="G55" s="48"/>
      <c r="H55" s="48">
        <f>+'M&amp;A Assumptions &amp; Analysis'!M70</f>
        <v>41268.945</v>
      </c>
      <c r="I55" s="6">
        <f t="shared" ref="I55:N55" si="17">+I112</f>
        <v>47517.050499999998</v>
      </c>
      <c r="J55" s="6">
        <f t="shared" si="17"/>
        <v>58763.640399999997</v>
      </c>
      <c r="K55" s="6">
        <f t="shared" si="17"/>
        <v>67760.912320000003</v>
      </c>
      <c r="L55" s="6">
        <f t="shared" si="17"/>
        <v>74958.729856000005</v>
      </c>
      <c r="M55" s="6">
        <f t="shared" si="17"/>
        <v>80716.983884800007</v>
      </c>
      <c r="N55" s="6">
        <f t="shared" si="17"/>
        <v>85323.587107840009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outlineLevel="1" x14ac:dyDescent="0.25">
      <c r="A56" s="6" t="s">
        <v>102</v>
      </c>
      <c r="B56" s="6"/>
      <c r="C56" s="7"/>
      <c r="D56" s="48"/>
      <c r="E56" s="48"/>
      <c r="F56" s="48"/>
      <c r="G56" s="48"/>
      <c r="H56" s="48">
        <f ca="1">+'M&amp;A Assumptions &amp; Analysis'!M71</f>
        <v>514432.36811561999</v>
      </c>
      <c r="I56" s="6">
        <f t="shared" ref="I56:N56" ca="1" si="18">+H56</f>
        <v>514432.36811561999</v>
      </c>
      <c r="J56" s="6">
        <f t="shared" ca="1" si="18"/>
        <v>514432.36811561999</v>
      </c>
      <c r="K56" s="6">
        <f t="shared" ca="1" si="18"/>
        <v>514432.36811561999</v>
      </c>
      <c r="L56" s="6">
        <f t="shared" ca="1" si="18"/>
        <v>514432.36811561999</v>
      </c>
      <c r="M56" s="6">
        <f t="shared" ca="1" si="18"/>
        <v>514432.36811561999</v>
      </c>
      <c r="N56" s="6">
        <f t="shared" ca="1" si="18"/>
        <v>514432.36811561999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outlineLevel="1" x14ac:dyDescent="0.25">
      <c r="A57" s="61" t="s">
        <v>103</v>
      </c>
      <c r="B57" s="61"/>
      <c r="C57" s="125"/>
      <c r="D57" s="61"/>
      <c r="E57" s="61"/>
      <c r="F57" s="61"/>
      <c r="G57" s="61"/>
      <c r="H57" s="61">
        <f t="shared" ref="H57:N57" ca="1" si="19">+SUM(H54:H56)</f>
        <v>680208.71857981035</v>
      </c>
      <c r="I57" s="61">
        <f t="shared" ca="1" si="19"/>
        <v>711135.20020404074</v>
      </c>
      <c r="J57" s="61">
        <f t="shared" ca="1" si="19"/>
        <v>775925.68307032553</v>
      </c>
      <c r="K57" s="61">
        <f t="shared" ca="1" si="19"/>
        <v>849986.30848511122</v>
      </c>
      <c r="L57" s="61">
        <f t="shared" ca="1" si="19"/>
        <v>931715.42620110838</v>
      </c>
      <c r="M57" s="61">
        <f t="shared" ca="1" si="19"/>
        <v>1018892.9441335525</v>
      </c>
      <c r="N57" s="61">
        <f t="shared" ca="1" si="19"/>
        <v>1101899.4243885642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outlineLevel="1" x14ac:dyDescent="0.25">
      <c r="A58" s="25"/>
      <c r="B58" s="25"/>
      <c r="C58" s="122"/>
      <c r="D58" s="114"/>
      <c r="E58" s="114"/>
      <c r="F58" s="25"/>
      <c r="G58" s="25"/>
      <c r="H58" s="25"/>
      <c r="I58" s="25"/>
      <c r="J58" s="25"/>
      <c r="K58" s="25"/>
      <c r="L58" s="25"/>
      <c r="M58" s="25"/>
      <c r="N58" s="2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outlineLevel="1" x14ac:dyDescent="0.25">
      <c r="A59" s="25" t="s">
        <v>104</v>
      </c>
      <c r="B59" s="6"/>
      <c r="C59" s="126"/>
      <c r="D59" s="19"/>
      <c r="E59" s="19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outlineLevel="1" x14ac:dyDescent="0.25">
      <c r="A60" s="130" t="s">
        <v>105</v>
      </c>
      <c r="B60" s="6"/>
      <c r="C60" s="126"/>
      <c r="D60" s="48"/>
      <c r="E60" s="48"/>
      <c r="F60" s="48"/>
      <c r="G60" s="48"/>
      <c r="H60" s="48"/>
      <c r="I60" s="39"/>
      <c r="J60" s="39"/>
      <c r="K60" s="39"/>
      <c r="L60" s="39"/>
      <c r="M60" s="39"/>
      <c r="N60" s="3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outlineLevel="1" x14ac:dyDescent="0.25">
      <c r="A61" s="6" t="s">
        <v>106</v>
      </c>
      <c r="B61" s="6"/>
      <c r="C61" s="126"/>
      <c r="D61" s="48"/>
      <c r="E61" s="48"/>
      <c r="F61" s="48"/>
      <c r="G61" s="48"/>
      <c r="H61" s="48">
        <f>+'M&amp;A Assumptions &amp; Analysis'!M76</f>
        <v>7375.8966258083074</v>
      </c>
      <c r="I61" s="124">
        <f t="shared" ref="I61:N61" si="20">+I34*I25/I5</f>
        <v>11288.074955414959</v>
      </c>
      <c r="J61" s="124">
        <f t="shared" ca="1" si="20"/>
        <v>12566.661399002554</v>
      </c>
      <c r="K61" s="124">
        <f t="shared" ca="1" si="20"/>
        <v>13964.410936297343</v>
      </c>
      <c r="L61" s="124">
        <f t="shared" ca="1" si="20"/>
        <v>15425.538421774276</v>
      </c>
      <c r="M61" s="124">
        <f t="shared" ca="1" si="20"/>
        <v>16951.793797005434</v>
      </c>
      <c r="N61" s="124">
        <f t="shared" ca="1" si="20"/>
        <v>18084.381254776727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outlineLevel="1" x14ac:dyDescent="0.25">
      <c r="A62" s="128" t="s">
        <v>107</v>
      </c>
      <c r="B62" s="35"/>
      <c r="C62" s="131"/>
      <c r="D62" s="35"/>
      <c r="E62" s="35"/>
      <c r="F62" s="35"/>
      <c r="G62" s="35"/>
      <c r="H62" s="35">
        <f t="shared" ref="H62:N62" si="21">SUM(H60:H61)</f>
        <v>7375.8966258083074</v>
      </c>
      <c r="I62" s="35">
        <f t="shared" si="21"/>
        <v>11288.074955414959</v>
      </c>
      <c r="J62" s="35">
        <f t="shared" ca="1" si="21"/>
        <v>12566.661399002554</v>
      </c>
      <c r="K62" s="35">
        <f t="shared" ca="1" si="21"/>
        <v>13964.410936297343</v>
      </c>
      <c r="L62" s="35">
        <f t="shared" ca="1" si="21"/>
        <v>15425.538421774276</v>
      </c>
      <c r="M62" s="35">
        <f t="shared" ca="1" si="21"/>
        <v>16951.793797005434</v>
      </c>
      <c r="N62" s="35">
        <f t="shared" ca="1" si="21"/>
        <v>18084.381254776727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outlineLevel="1" x14ac:dyDescent="0.25">
      <c r="A63" s="6" t="s">
        <v>108</v>
      </c>
      <c r="B63" s="6"/>
      <c r="C63" s="7"/>
      <c r="D63" s="48"/>
      <c r="E63" s="48"/>
      <c r="F63" s="48"/>
      <c r="G63" s="48"/>
      <c r="H63" s="48">
        <f ca="1">+'M&amp;A Assumptions &amp; Analysis'!M78</f>
        <v>16801.075268817203</v>
      </c>
      <c r="I63" s="6">
        <f t="shared" ref="I63:N63" ca="1" si="22">+I143</f>
        <v>16801</v>
      </c>
      <c r="J63" s="6">
        <f t="shared" ca="1" si="22"/>
        <v>16801</v>
      </c>
      <c r="K63" s="6">
        <f t="shared" ca="1" si="22"/>
        <v>16801</v>
      </c>
      <c r="L63" s="6">
        <f t="shared" ca="1" si="22"/>
        <v>16801</v>
      </c>
      <c r="M63" s="6">
        <f t="shared" ca="1" si="22"/>
        <v>16801</v>
      </c>
      <c r="N63" s="6">
        <f t="shared" ca="1" si="22"/>
        <v>6801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outlineLevel="1" x14ac:dyDescent="0.25">
      <c r="A64" s="35" t="s">
        <v>109</v>
      </c>
      <c r="B64" s="35"/>
      <c r="C64" s="49"/>
      <c r="D64" s="35"/>
      <c r="E64" s="35"/>
      <c r="F64" s="35"/>
      <c r="G64" s="35"/>
      <c r="H64" s="35">
        <f t="shared" ref="H64:N64" ca="1" si="23">+H62+H63</f>
        <v>24176.971894625509</v>
      </c>
      <c r="I64" s="35">
        <f t="shared" ca="1" si="23"/>
        <v>28089.074955414959</v>
      </c>
      <c r="J64" s="35">
        <f t="shared" ca="1" si="23"/>
        <v>29367.661399002554</v>
      </c>
      <c r="K64" s="35">
        <f t="shared" ca="1" si="23"/>
        <v>30765.410936297343</v>
      </c>
      <c r="L64" s="35">
        <f t="shared" ca="1" si="23"/>
        <v>32226.538421774276</v>
      </c>
      <c r="M64" s="35">
        <f t="shared" ca="1" si="23"/>
        <v>33752.793797005434</v>
      </c>
      <c r="N64" s="35">
        <f t="shared" ca="1" si="23"/>
        <v>24885.381254776727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outlineLevel="1" x14ac:dyDescent="0.25">
      <c r="A65" s="25" t="s">
        <v>110</v>
      </c>
      <c r="B65" s="6"/>
      <c r="C65" s="7"/>
      <c r="D65" s="19"/>
      <c r="E65" s="1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outlineLevel="1" x14ac:dyDescent="0.25">
      <c r="A66" s="6" t="s">
        <v>111</v>
      </c>
      <c r="B66" s="6"/>
      <c r="C66" s="7"/>
      <c r="D66" s="48"/>
      <c r="E66" s="48"/>
      <c r="F66" s="48"/>
      <c r="G66" s="48"/>
      <c r="H66" s="48">
        <f ca="1">+'M&amp;A Assumptions &amp; Analysis'!M81</f>
        <v>567375</v>
      </c>
      <c r="I66" s="6">
        <f t="shared" ref="I66:N66" ca="1" si="24">+H66+I27</f>
        <v>567375</v>
      </c>
      <c r="J66" s="6">
        <f t="shared" ca="1" si="24"/>
        <v>567375</v>
      </c>
      <c r="K66" s="6">
        <f t="shared" ca="1" si="24"/>
        <v>567375</v>
      </c>
      <c r="L66" s="6">
        <f t="shared" ca="1" si="24"/>
        <v>567375</v>
      </c>
      <c r="M66" s="6">
        <f t="shared" ca="1" si="24"/>
        <v>567375</v>
      </c>
      <c r="N66" s="6">
        <f t="shared" ca="1" si="24"/>
        <v>567375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outlineLevel="1" x14ac:dyDescent="0.25">
      <c r="A67" s="6" t="s">
        <v>112</v>
      </c>
      <c r="B67" s="6"/>
      <c r="C67" s="7"/>
      <c r="D67" s="48"/>
      <c r="E67" s="48"/>
      <c r="F67" s="48"/>
      <c r="G67" s="48"/>
      <c r="H67" s="48">
        <f ca="1">+'M&amp;A Assumptions &amp; Analysis'!M82</f>
        <v>88656.746685184902</v>
      </c>
      <c r="I67" s="6">
        <f t="shared" ref="I67:N67" ca="1" si="25">+H67+I45-I28</f>
        <v>115671.04997980855</v>
      </c>
      <c r="J67" s="6">
        <f t="shared" ca="1" si="25"/>
        <v>179182.94640250574</v>
      </c>
      <c r="K67" s="6">
        <f t="shared" ca="1" si="25"/>
        <v>251845.82227999679</v>
      </c>
      <c r="L67" s="6">
        <f t="shared" ca="1" si="25"/>
        <v>332113.81251051696</v>
      </c>
      <c r="M67" s="6">
        <f t="shared" ca="1" si="25"/>
        <v>417765.07506772992</v>
      </c>
      <c r="N67" s="6">
        <f t="shared" ca="1" si="25"/>
        <v>509638.96786497044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outlineLevel="1" x14ac:dyDescent="0.25">
      <c r="A68" s="64" t="s">
        <v>110</v>
      </c>
      <c r="B68" s="64"/>
      <c r="C68" s="74"/>
      <c r="D68" s="64"/>
      <c r="E68" s="64"/>
      <c r="F68" s="64"/>
      <c r="G68" s="64"/>
      <c r="H68" s="64">
        <f t="shared" ref="H68:N68" ca="1" si="26">SUM(H66:H67)</f>
        <v>656031.74668518489</v>
      </c>
      <c r="I68" s="64">
        <f t="shared" ca="1" si="26"/>
        <v>683046.04997980851</v>
      </c>
      <c r="J68" s="64">
        <f t="shared" ca="1" si="26"/>
        <v>746557.94640250574</v>
      </c>
      <c r="K68" s="64">
        <f t="shared" ca="1" si="26"/>
        <v>819220.82227999682</v>
      </c>
      <c r="L68" s="64">
        <f t="shared" ca="1" si="26"/>
        <v>899488.81251051696</v>
      </c>
      <c r="M68" s="64">
        <f t="shared" ca="1" si="26"/>
        <v>985140.07506772992</v>
      </c>
      <c r="N68" s="64">
        <f t="shared" ca="1" si="26"/>
        <v>1077013.9678649704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outlineLevel="1" x14ac:dyDescent="0.25">
      <c r="A69" s="61" t="s">
        <v>113</v>
      </c>
      <c r="B69" s="61"/>
      <c r="C69" s="125"/>
      <c r="D69" s="61"/>
      <c r="E69" s="61"/>
      <c r="F69" s="61"/>
      <c r="G69" s="61"/>
      <c r="H69" s="61">
        <f t="shared" ref="H69:N69" ca="1" si="27">+H64+H68</f>
        <v>680208.71857981035</v>
      </c>
      <c r="I69" s="61">
        <f t="shared" ca="1" si="27"/>
        <v>711135.12493522349</v>
      </c>
      <c r="J69" s="61">
        <f t="shared" ca="1" si="27"/>
        <v>775925.60780150827</v>
      </c>
      <c r="K69" s="61">
        <f t="shared" ca="1" si="27"/>
        <v>849986.2332162942</v>
      </c>
      <c r="L69" s="61">
        <f t="shared" ca="1" si="27"/>
        <v>931715.35093229124</v>
      </c>
      <c r="M69" s="61">
        <f t="shared" ca="1" si="27"/>
        <v>1018892.8688647354</v>
      </c>
      <c r="N69" s="61">
        <f t="shared" ca="1" si="27"/>
        <v>1101899.3491197471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outlineLevel="1" x14ac:dyDescent="0.25">
      <c r="A70" s="6"/>
      <c r="B70" s="6"/>
      <c r="C70" s="7"/>
      <c r="D70" s="19"/>
      <c r="E70" s="19"/>
      <c r="F70" s="19"/>
      <c r="G70" s="19"/>
      <c r="H70" s="1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outlineLevel="1" x14ac:dyDescent="0.25">
      <c r="A71" s="50" t="s">
        <v>114</v>
      </c>
      <c r="B71" s="132"/>
      <c r="C71" s="133"/>
      <c r="D71" s="132"/>
      <c r="E71" s="132"/>
      <c r="F71" s="132"/>
      <c r="G71" s="132"/>
      <c r="H71" s="132">
        <f t="shared" ref="H71:N71" ca="1" si="28">H69-H57</f>
        <v>0</v>
      </c>
      <c r="I71" s="132">
        <f t="shared" ca="1" si="28"/>
        <v>-7.5268817250616848E-2</v>
      </c>
      <c r="J71" s="132">
        <f t="shared" ca="1" si="28"/>
        <v>-7.5268817250616848E-2</v>
      </c>
      <c r="K71" s="132">
        <f t="shared" ca="1" si="28"/>
        <v>-7.5268817017786205E-2</v>
      </c>
      <c r="L71" s="132">
        <f t="shared" ca="1" si="28"/>
        <v>-7.5268817134201527E-2</v>
      </c>
      <c r="M71" s="132">
        <f t="shared" ca="1" si="28"/>
        <v>-7.5268817134201527E-2</v>
      </c>
      <c r="N71" s="132">
        <f t="shared" ca="1" si="28"/>
        <v>-7.5268817134201527E-2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outlineLevel="1" x14ac:dyDescent="0.25">
      <c r="A72" s="132"/>
      <c r="B72" s="132"/>
      <c r="C72" s="133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x14ac:dyDescent="0.25">
      <c r="A73" s="6"/>
      <c r="B73" s="6"/>
      <c r="C73" s="7"/>
      <c r="D73" s="19"/>
      <c r="E73" s="19"/>
      <c r="F73" s="19"/>
      <c r="G73" s="19"/>
      <c r="H73" s="1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1" x14ac:dyDescent="0.35">
      <c r="A74" s="9" t="s">
        <v>186</v>
      </c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outlineLevel="1" x14ac:dyDescent="0.25">
      <c r="A75" s="25"/>
      <c r="B75" s="6"/>
      <c r="C75" s="7"/>
      <c r="D75" s="114"/>
      <c r="E75" s="19"/>
      <c r="F75" s="19"/>
      <c r="G75" s="19"/>
      <c r="H75" s="1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outlineLevel="1" x14ac:dyDescent="0.25">
      <c r="A76" s="25" t="s">
        <v>187</v>
      </c>
      <c r="B76" s="6"/>
      <c r="C76" s="7"/>
      <c r="D76" s="19"/>
      <c r="E76" s="19"/>
      <c r="F76" s="19"/>
      <c r="G76" s="19"/>
      <c r="H76" s="4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outlineLevel="1" x14ac:dyDescent="0.25">
      <c r="A77" s="6" t="s">
        <v>184</v>
      </c>
      <c r="B77" s="6"/>
      <c r="C77" s="134"/>
      <c r="D77" s="6"/>
      <c r="E77" s="6"/>
      <c r="F77" s="6"/>
      <c r="G77" s="6"/>
      <c r="H77" s="6"/>
      <c r="I77" s="6">
        <f t="shared" ref="I77:N77" ca="1" si="29">+I45</f>
        <v>27014.303294623649</v>
      </c>
      <c r="J77" s="6">
        <f t="shared" ca="1" si="29"/>
        <v>63511.896422697173</v>
      </c>
      <c r="K77" s="6">
        <f t="shared" ca="1" si="29"/>
        <v>72662.875877491053</v>
      </c>
      <c r="L77" s="6">
        <f t="shared" ca="1" si="29"/>
        <v>80767.990230520169</v>
      </c>
      <c r="M77" s="6">
        <f t="shared" ca="1" si="29"/>
        <v>86151.262557212991</v>
      </c>
      <c r="N77" s="6">
        <f t="shared" ca="1" si="29"/>
        <v>92373.892797240493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outlineLevel="1" x14ac:dyDescent="0.25">
      <c r="A78" s="6" t="s">
        <v>188</v>
      </c>
      <c r="B78" s="6"/>
      <c r="C78" s="7"/>
      <c r="D78" s="6"/>
      <c r="E78" s="6"/>
      <c r="F78" s="6"/>
      <c r="G78" s="6"/>
      <c r="H78" s="6"/>
      <c r="I78" s="6">
        <f t="shared" ref="I78:N78" si="30">+I39</f>
        <v>4126.8945000000003</v>
      </c>
      <c r="J78" s="6">
        <f t="shared" si="30"/>
        <v>9503.4100999999991</v>
      </c>
      <c r="K78" s="6">
        <f t="shared" si="30"/>
        <v>11752.728080000001</v>
      </c>
      <c r="L78" s="6">
        <f t="shared" si="30"/>
        <v>13552.182464000001</v>
      </c>
      <c r="M78" s="6">
        <f t="shared" si="30"/>
        <v>14991.745971200002</v>
      </c>
      <c r="N78" s="6">
        <f t="shared" si="30"/>
        <v>16143.396776960002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outlineLevel="1" x14ac:dyDescent="0.25">
      <c r="A79" s="6" t="s">
        <v>189</v>
      </c>
      <c r="B79" s="6"/>
      <c r="C79" s="7"/>
      <c r="D79" s="6"/>
      <c r="E79" s="6"/>
      <c r="F79" s="6"/>
      <c r="G79" s="6"/>
      <c r="H79" s="6"/>
      <c r="I79" s="6">
        <f t="shared" ref="I79:N79" si="31">-I106</f>
        <v>-87461.41403983788</v>
      </c>
      <c r="J79" s="6">
        <f t="shared" ca="1" si="31"/>
        <v>-6392.4094082943011</v>
      </c>
      <c r="K79" s="6">
        <f t="shared" ca="1" si="31"/>
        <v>-7431.7885818562972</v>
      </c>
      <c r="L79" s="6">
        <f t="shared" ca="1" si="31"/>
        <v>-4041.5038673074378</v>
      </c>
      <c r="M79" s="6">
        <f t="shared" ca="1" si="31"/>
        <v>-4053.2445179084025</v>
      </c>
      <c r="N79" s="6">
        <f t="shared" ca="1" si="31"/>
        <v>-3183.6051916909273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outlineLevel="1" x14ac:dyDescent="0.25">
      <c r="A80" s="35" t="s">
        <v>190</v>
      </c>
      <c r="B80" s="26"/>
      <c r="C80" s="45"/>
      <c r="D80" s="35"/>
      <c r="E80" s="35"/>
      <c r="F80" s="35"/>
      <c r="G80" s="35"/>
      <c r="H80" s="35"/>
      <c r="I80" s="35">
        <f t="shared" ref="I80:N80" ca="1" si="32">SUM(I77:I79)</f>
        <v>-56320.216245214229</v>
      </c>
      <c r="J80" s="35">
        <f t="shared" ca="1" si="32"/>
        <v>66622.897114402862</v>
      </c>
      <c r="K80" s="35">
        <f t="shared" ca="1" si="32"/>
        <v>76983.81537563476</v>
      </c>
      <c r="L80" s="35">
        <f t="shared" ca="1" si="32"/>
        <v>90278.668827212736</v>
      </c>
      <c r="M80" s="35">
        <f t="shared" ca="1" si="32"/>
        <v>97089.764010504587</v>
      </c>
      <c r="N80" s="35">
        <f t="shared" ca="1" si="32"/>
        <v>105333.68438250956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outlineLevel="1" x14ac:dyDescent="0.25">
      <c r="A81" s="25"/>
      <c r="B81" s="6"/>
      <c r="C81" s="7"/>
      <c r="D81" s="114"/>
      <c r="E81" s="114"/>
      <c r="F81" s="114"/>
      <c r="G81" s="114"/>
      <c r="H81" s="25"/>
      <c r="I81" s="25"/>
      <c r="J81" s="25"/>
      <c r="K81" s="25"/>
      <c r="L81" s="25"/>
      <c r="M81" s="25"/>
      <c r="N81" s="2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outlineLevel="1" x14ac:dyDescent="0.25">
      <c r="A82" s="25" t="s">
        <v>191</v>
      </c>
      <c r="B82" s="6"/>
      <c r="C82" s="7"/>
      <c r="D82" s="19"/>
      <c r="E82" s="19"/>
      <c r="F82" s="19"/>
      <c r="G82" s="1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outlineLevel="1" x14ac:dyDescent="0.25">
      <c r="A83" s="6" t="s">
        <v>192</v>
      </c>
      <c r="B83" s="6"/>
      <c r="C83" s="7"/>
      <c r="D83" s="6"/>
      <c r="E83" s="6"/>
      <c r="F83" s="6"/>
      <c r="G83" s="6"/>
      <c r="H83" s="6"/>
      <c r="I83" s="6">
        <f t="shared" ref="I83:N83" si="33">-I110</f>
        <v>-10375</v>
      </c>
      <c r="J83" s="6">
        <f t="shared" si="33"/>
        <v>-20750</v>
      </c>
      <c r="K83" s="6">
        <f t="shared" si="33"/>
        <v>-20750</v>
      </c>
      <c r="L83" s="6">
        <f t="shared" si="33"/>
        <v>-20750</v>
      </c>
      <c r="M83" s="6">
        <f t="shared" si="33"/>
        <v>-20750</v>
      </c>
      <c r="N83" s="6">
        <f t="shared" si="33"/>
        <v>-20750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outlineLevel="1" x14ac:dyDescent="0.25">
      <c r="A84" s="6" t="s">
        <v>193</v>
      </c>
      <c r="B84" s="6"/>
      <c r="C84" s="7"/>
      <c r="D84" s="6"/>
      <c r="E84" s="6"/>
      <c r="F84" s="6"/>
      <c r="G84" s="6"/>
      <c r="H84" s="6"/>
      <c r="I84" s="39"/>
      <c r="J84" s="39"/>
      <c r="K84" s="39"/>
      <c r="L84" s="39"/>
      <c r="M84" s="39"/>
      <c r="N84" s="3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outlineLevel="1" x14ac:dyDescent="0.25">
      <c r="A85" s="35" t="s">
        <v>194</v>
      </c>
      <c r="B85" s="26"/>
      <c r="C85" s="45"/>
      <c r="D85" s="35"/>
      <c r="E85" s="35"/>
      <c r="F85" s="35"/>
      <c r="G85" s="35"/>
      <c r="H85" s="35"/>
      <c r="I85" s="35">
        <f t="shared" ref="I85:N85" si="34">SUM(I83:I84)</f>
        <v>-10375</v>
      </c>
      <c r="J85" s="35">
        <f t="shared" si="34"/>
        <v>-20750</v>
      </c>
      <c r="K85" s="35">
        <f t="shared" si="34"/>
        <v>-20750</v>
      </c>
      <c r="L85" s="35">
        <f t="shared" si="34"/>
        <v>-20750</v>
      </c>
      <c r="M85" s="35">
        <f t="shared" si="34"/>
        <v>-20750</v>
      </c>
      <c r="N85" s="35">
        <f t="shared" si="34"/>
        <v>-20750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outlineLevel="1" x14ac:dyDescent="0.25">
      <c r="A86" s="25"/>
      <c r="B86" s="6"/>
      <c r="C86" s="7"/>
      <c r="D86" s="114"/>
      <c r="E86" s="114"/>
      <c r="F86" s="114"/>
      <c r="G86" s="114"/>
      <c r="H86" s="25"/>
      <c r="I86" s="25"/>
      <c r="J86" s="25"/>
      <c r="K86" s="25"/>
      <c r="L86" s="25"/>
      <c r="M86" s="25"/>
      <c r="N86" s="2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outlineLevel="1" x14ac:dyDescent="0.25">
      <c r="A87" s="25" t="s">
        <v>195</v>
      </c>
      <c r="B87" s="6"/>
      <c r="C87" s="7"/>
      <c r="D87" s="19"/>
      <c r="E87" s="19"/>
      <c r="F87" s="19"/>
      <c r="G87" s="1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outlineLevel="1" x14ac:dyDescent="0.25">
      <c r="A88" s="6" t="s">
        <v>196</v>
      </c>
      <c r="B88" s="6"/>
      <c r="C88" s="7"/>
      <c r="D88" s="6"/>
      <c r="E88" s="6"/>
      <c r="F88" s="6"/>
      <c r="G88" s="6"/>
      <c r="H88" s="6"/>
      <c r="I88" s="6">
        <f t="shared" ref="I88:N88" ca="1" si="35">I142</f>
        <v>0</v>
      </c>
      <c r="J88" s="6">
        <f t="shared" ca="1" si="35"/>
        <v>0</v>
      </c>
      <c r="K88" s="6">
        <f t="shared" ca="1" si="35"/>
        <v>0</v>
      </c>
      <c r="L88" s="6">
        <f t="shared" ca="1" si="35"/>
        <v>0</v>
      </c>
      <c r="M88" s="6">
        <f t="shared" ca="1" si="35"/>
        <v>0</v>
      </c>
      <c r="N88" s="6">
        <f t="shared" ca="1" si="35"/>
        <v>-10000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outlineLevel="1" x14ac:dyDescent="0.25">
      <c r="A89" s="6" t="s">
        <v>197</v>
      </c>
      <c r="B89" s="6"/>
      <c r="C89" s="7"/>
      <c r="D89" s="48"/>
      <c r="E89" s="48"/>
      <c r="F89" s="48"/>
      <c r="G89" s="48"/>
      <c r="H89" s="6"/>
      <c r="I89" s="6">
        <f t="shared" ref="I89:N89" si="36">+I27</f>
        <v>0</v>
      </c>
      <c r="J89" s="6">
        <f t="shared" si="36"/>
        <v>0</v>
      </c>
      <c r="K89" s="6">
        <f t="shared" si="36"/>
        <v>0</v>
      </c>
      <c r="L89" s="6">
        <f t="shared" si="36"/>
        <v>0</v>
      </c>
      <c r="M89" s="6">
        <f t="shared" si="36"/>
        <v>0</v>
      </c>
      <c r="N89" s="6">
        <f t="shared" si="36"/>
        <v>0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outlineLevel="1" x14ac:dyDescent="0.25">
      <c r="A90" s="6" t="s">
        <v>198</v>
      </c>
      <c r="B90" s="6"/>
      <c r="C90" s="7"/>
      <c r="D90" s="48"/>
      <c r="E90" s="48"/>
      <c r="F90" s="48"/>
      <c r="G90" s="48"/>
      <c r="H90" s="6"/>
      <c r="I90" s="6">
        <f t="shared" ref="I90:N90" si="37">-I28</f>
        <v>0</v>
      </c>
      <c r="J90" s="6">
        <f t="shared" si="37"/>
        <v>0</v>
      </c>
      <c r="K90" s="6">
        <f t="shared" si="37"/>
        <v>0</v>
      </c>
      <c r="L90" s="6">
        <f t="shared" si="37"/>
        <v>-500</v>
      </c>
      <c r="M90" s="6">
        <f t="shared" si="37"/>
        <v>-500</v>
      </c>
      <c r="N90" s="6">
        <f t="shared" si="37"/>
        <v>-500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outlineLevel="1" x14ac:dyDescent="0.25">
      <c r="A91" s="35" t="s">
        <v>199</v>
      </c>
      <c r="B91" s="26"/>
      <c r="C91" s="45"/>
      <c r="D91" s="35"/>
      <c r="E91" s="35"/>
      <c r="F91" s="35"/>
      <c r="G91" s="35"/>
      <c r="H91" s="35"/>
      <c r="I91" s="35">
        <f t="shared" ref="I91:N91" ca="1" si="38">SUM(I88:I90)</f>
        <v>0</v>
      </c>
      <c r="J91" s="35">
        <f t="shared" ca="1" si="38"/>
        <v>0</v>
      </c>
      <c r="K91" s="35">
        <f t="shared" ca="1" si="38"/>
        <v>0</v>
      </c>
      <c r="L91" s="35">
        <f t="shared" ca="1" si="38"/>
        <v>-500</v>
      </c>
      <c r="M91" s="35">
        <f t="shared" ca="1" si="38"/>
        <v>-500</v>
      </c>
      <c r="N91" s="35">
        <f t="shared" ca="1" si="38"/>
        <v>-10500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outlineLevel="1" x14ac:dyDescent="0.25">
      <c r="A92" s="25"/>
      <c r="B92" s="6"/>
      <c r="C92" s="7"/>
      <c r="D92" s="114"/>
      <c r="E92" s="114"/>
      <c r="F92" s="114"/>
      <c r="G92" s="114"/>
      <c r="H92" s="25"/>
      <c r="I92" s="25"/>
      <c r="J92" s="25"/>
      <c r="K92" s="25"/>
      <c r="L92" s="25"/>
      <c r="M92" s="25"/>
      <c r="N92" s="2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outlineLevel="1" x14ac:dyDescent="0.25">
      <c r="A93" s="6" t="s">
        <v>200</v>
      </c>
      <c r="B93" s="6"/>
      <c r="C93" s="7"/>
      <c r="D93" s="6"/>
      <c r="E93" s="6"/>
      <c r="F93" s="6"/>
      <c r="G93" s="6"/>
      <c r="H93" s="6"/>
      <c r="I93" s="6">
        <f t="shared" ref="I93:N93" ca="1" si="39">+I80+I85+I91</f>
        <v>-66695.216245214222</v>
      </c>
      <c r="J93" s="6">
        <f t="shared" ca="1" si="39"/>
        <v>45872.897114402862</v>
      </c>
      <c r="K93" s="6">
        <f t="shared" ca="1" si="39"/>
        <v>56233.81537563476</v>
      </c>
      <c r="L93" s="6">
        <f t="shared" ca="1" si="39"/>
        <v>69028.668827212736</v>
      </c>
      <c r="M93" s="6">
        <f t="shared" ca="1" si="39"/>
        <v>75839.764010504587</v>
      </c>
      <c r="N93" s="6">
        <f t="shared" ca="1" si="39"/>
        <v>74083.684382509557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outlineLevel="1" x14ac:dyDescent="0.25">
      <c r="A94" s="6" t="s">
        <v>201</v>
      </c>
      <c r="B94" s="6"/>
      <c r="C94" s="7"/>
      <c r="D94" s="48"/>
      <c r="E94" s="6"/>
      <c r="F94" s="6"/>
      <c r="G94" s="6"/>
      <c r="H94" s="6"/>
      <c r="I94" s="6">
        <f t="shared" ref="I94:N94" ca="1" si="40">+H95</f>
        <v>178399.35898553894</v>
      </c>
      <c r="J94" s="6">
        <f t="shared" ca="1" si="40"/>
        <v>111704.14274032472</v>
      </c>
      <c r="K94" s="6">
        <f t="shared" ca="1" si="40"/>
        <v>157577.03985472757</v>
      </c>
      <c r="L94" s="6">
        <f t="shared" ca="1" si="40"/>
        <v>213810.85523036233</v>
      </c>
      <c r="M94" s="6">
        <f t="shared" ca="1" si="40"/>
        <v>282839.52405757504</v>
      </c>
      <c r="N94" s="6">
        <f t="shared" ca="1" si="40"/>
        <v>358679.28806807962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outlineLevel="1" x14ac:dyDescent="0.25">
      <c r="A95" s="35" t="s">
        <v>202</v>
      </c>
      <c r="B95" s="26"/>
      <c r="C95" s="45"/>
      <c r="D95" s="35"/>
      <c r="E95" s="35"/>
      <c r="F95" s="35"/>
      <c r="G95" s="35"/>
      <c r="H95" s="35">
        <f ca="1">+H51</f>
        <v>178399.35898553894</v>
      </c>
      <c r="I95" s="35">
        <f t="shared" ref="I95:N95" ca="1" si="41">SUM(I93:I94)</f>
        <v>111704.14274032472</v>
      </c>
      <c r="J95" s="35">
        <f t="shared" ca="1" si="41"/>
        <v>157577.03985472757</v>
      </c>
      <c r="K95" s="35">
        <f t="shared" ca="1" si="41"/>
        <v>213810.85523036233</v>
      </c>
      <c r="L95" s="35">
        <f t="shared" ca="1" si="41"/>
        <v>282839.52405757504</v>
      </c>
      <c r="M95" s="35">
        <f t="shared" ca="1" si="41"/>
        <v>358679.28806807962</v>
      </c>
      <c r="N95" s="35">
        <f t="shared" ca="1" si="41"/>
        <v>432762.97245058918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outlineLevel="1" x14ac:dyDescent="0.25">
      <c r="A96" s="25"/>
      <c r="B96" s="6"/>
      <c r="C96" s="7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outlineLevel="1" x14ac:dyDescent="0.25">
      <c r="A97" s="25"/>
      <c r="B97" s="6"/>
      <c r="C97" s="7"/>
      <c r="D97" s="114"/>
      <c r="E97" s="19"/>
      <c r="F97" s="19"/>
      <c r="G97" s="19"/>
      <c r="H97" s="1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x14ac:dyDescent="0.25">
      <c r="A98" s="6"/>
      <c r="B98" s="6"/>
      <c r="C98" s="7"/>
      <c r="D98" s="19"/>
      <c r="E98" s="19"/>
      <c r="F98" s="19"/>
      <c r="G98" s="19"/>
      <c r="H98" s="1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1" x14ac:dyDescent="0.35">
      <c r="A99" s="9" t="s">
        <v>203</v>
      </c>
      <c r="B99" s="10"/>
      <c r="C99" s="1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outlineLevel="1" x14ac:dyDescent="0.25">
      <c r="A100" s="6"/>
      <c r="B100" s="6"/>
      <c r="C100" s="7"/>
      <c r="D100" s="19"/>
      <c r="E100" s="19"/>
      <c r="F100" s="19"/>
      <c r="G100" s="19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outlineLevel="1" x14ac:dyDescent="0.25">
      <c r="A101" s="25" t="s">
        <v>204</v>
      </c>
      <c r="B101" s="6"/>
      <c r="C101" s="7"/>
      <c r="D101" s="19"/>
      <c r="E101" s="19"/>
      <c r="F101" s="19"/>
      <c r="G101" s="19"/>
      <c r="H101" s="1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outlineLevel="1" x14ac:dyDescent="0.25">
      <c r="A102" s="6" t="s">
        <v>98</v>
      </c>
      <c r="B102" s="6"/>
      <c r="C102" s="7"/>
      <c r="D102" s="6"/>
      <c r="E102" s="6"/>
      <c r="F102" s="6"/>
      <c r="G102" s="6"/>
      <c r="H102" s="6">
        <f t="shared" ref="H102:N102" si="42">+H52</f>
        <v>8590.8725706354871</v>
      </c>
      <c r="I102" s="6">
        <f t="shared" si="42"/>
        <v>13074.990295847443</v>
      </c>
      <c r="J102" s="6">
        <f t="shared" ca="1" si="42"/>
        <v>14585.079945647372</v>
      </c>
      <c r="K102" s="6">
        <f t="shared" ca="1" si="42"/>
        <v>16240.521639946975</v>
      </c>
      <c r="L102" s="6">
        <f t="shared" ca="1" si="42"/>
        <v>17794.159788739646</v>
      </c>
      <c r="M102" s="6">
        <f t="shared" ca="1" si="42"/>
        <v>19248.645154227423</v>
      </c>
      <c r="N102" s="6">
        <f t="shared" ca="1" si="42"/>
        <v>20503.790620524003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outlineLevel="1" x14ac:dyDescent="0.25">
      <c r="A103" s="6" t="s">
        <v>99</v>
      </c>
      <c r="B103" s="6"/>
      <c r="C103" s="7"/>
      <c r="D103" s="6"/>
      <c r="E103" s="6"/>
      <c r="F103" s="6"/>
      <c r="G103" s="6"/>
      <c r="H103" s="6">
        <f t="shared" ref="H103:N103" si="43">+H53</f>
        <v>-62482.82609198401</v>
      </c>
      <c r="I103" s="6">
        <f t="shared" si="43"/>
        <v>24406.648552248564</v>
      </c>
      <c r="J103" s="6">
        <f t="shared" ca="1" si="43"/>
        <v>30567.554754330533</v>
      </c>
      <c r="K103" s="6">
        <f t="shared" ca="1" si="43"/>
        <v>37741.651179182008</v>
      </c>
      <c r="L103" s="6">
        <f t="shared" ca="1" si="43"/>
        <v>41690.644383173712</v>
      </c>
      <c r="M103" s="6">
        <f t="shared" ca="1" si="43"/>
        <v>45815.658910825499</v>
      </c>
      <c r="N103" s="6">
        <f t="shared" ca="1" si="43"/>
        <v>48876.706093991146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outlineLevel="1" x14ac:dyDescent="0.25">
      <c r="A104" s="6" t="s">
        <v>106</v>
      </c>
      <c r="B104" s="6"/>
      <c r="C104" s="7"/>
      <c r="D104" s="6"/>
      <c r="E104" s="6"/>
      <c r="F104" s="6"/>
      <c r="G104" s="6"/>
      <c r="H104" s="6">
        <f t="shared" ref="H104:N104" si="44">+H61</f>
        <v>7375.8966258083074</v>
      </c>
      <c r="I104" s="6">
        <f t="shared" si="44"/>
        <v>11288.074955414959</v>
      </c>
      <c r="J104" s="6">
        <f t="shared" ca="1" si="44"/>
        <v>12566.661399002554</v>
      </c>
      <c r="K104" s="6">
        <f t="shared" ca="1" si="44"/>
        <v>13964.410936297343</v>
      </c>
      <c r="L104" s="6">
        <f t="shared" ca="1" si="44"/>
        <v>15425.538421774276</v>
      </c>
      <c r="M104" s="6">
        <f t="shared" ca="1" si="44"/>
        <v>16951.793797005434</v>
      </c>
      <c r="N104" s="6">
        <f t="shared" ca="1" si="44"/>
        <v>18084.381254776727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outlineLevel="1" x14ac:dyDescent="0.25">
      <c r="A105" s="26" t="s">
        <v>205</v>
      </c>
      <c r="B105" s="26"/>
      <c r="C105" s="45"/>
      <c r="D105" s="26"/>
      <c r="E105" s="26"/>
      <c r="F105" s="26"/>
      <c r="G105" s="26"/>
      <c r="H105" s="26">
        <f t="shared" ref="H105:N105" si="45">+H102+H103-H104</f>
        <v>-61267.850147156831</v>
      </c>
      <c r="I105" s="26">
        <f t="shared" si="45"/>
        <v>26193.56389268105</v>
      </c>
      <c r="J105" s="26">
        <f t="shared" ca="1" si="45"/>
        <v>32585.973300975351</v>
      </c>
      <c r="K105" s="26">
        <f t="shared" ca="1" si="45"/>
        <v>40017.761882831648</v>
      </c>
      <c r="L105" s="26">
        <f t="shared" ca="1" si="45"/>
        <v>44059.265750139086</v>
      </c>
      <c r="M105" s="26">
        <f t="shared" ca="1" si="45"/>
        <v>48112.510268047488</v>
      </c>
      <c r="N105" s="26">
        <f t="shared" ca="1" si="45"/>
        <v>51296.115459738416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outlineLevel="1" x14ac:dyDescent="0.25">
      <c r="A106" s="6" t="s">
        <v>206</v>
      </c>
      <c r="B106" s="6"/>
      <c r="C106" s="7"/>
      <c r="D106" s="6"/>
      <c r="E106" s="6"/>
      <c r="F106" s="6"/>
      <c r="G106" s="6"/>
      <c r="H106" s="6"/>
      <c r="I106" s="6">
        <f t="shared" ref="I106:N106" si="46">+I105-H105</f>
        <v>87461.41403983788</v>
      </c>
      <c r="J106" s="6">
        <f t="shared" ca="1" si="46"/>
        <v>6392.4094082943011</v>
      </c>
      <c r="K106" s="6">
        <f t="shared" ca="1" si="46"/>
        <v>7431.7885818562972</v>
      </c>
      <c r="L106" s="6">
        <f t="shared" ca="1" si="46"/>
        <v>4041.5038673074378</v>
      </c>
      <c r="M106" s="6">
        <f t="shared" ca="1" si="46"/>
        <v>4053.2445179084025</v>
      </c>
      <c r="N106" s="6">
        <f t="shared" ca="1" si="46"/>
        <v>3183.6051916909273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outlineLevel="1" x14ac:dyDescent="0.25">
      <c r="A107" s="6"/>
      <c r="B107" s="6"/>
      <c r="C107" s="7"/>
      <c r="D107" s="19"/>
      <c r="E107" s="19"/>
      <c r="F107" s="19"/>
      <c r="G107" s="19"/>
      <c r="H107" s="1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outlineLevel="1" x14ac:dyDescent="0.25">
      <c r="A108" s="25" t="s">
        <v>207</v>
      </c>
      <c r="B108" s="6"/>
      <c r="C108" s="7"/>
      <c r="D108" s="19"/>
      <c r="E108" s="19"/>
      <c r="F108" s="19"/>
      <c r="G108" s="19"/>
      <c r="H108" s="1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outlineLevel="1" x14ac:dyDescent="0.25">
      <c r="A109" s="6" t="s">
        <v>208</v>
      </c>
      <c r="B109" s="6"/>
      <c r="C109" s="7"/>
      <c r="D109" s="48"/>
      <c r="E109" s="6"/>
      <c r="F109" s="6"/>
      <c r="G109" s="6"/>
      <c r="H109" s="6"/>
      <c r="I109" s="6">
        <f t="shared" ref="I109:N109" si="47">+H112</f>
        <v>41268.945</v>
      </c>
      <c r="J109" s="6">
        <f t="shared" si="47"/>
        <v>47517.050499999998</v>
      </c>
      <c r="K109" s="6">
        <f t="shared" si="47"/>
        <v>58763.640399999997</v>
      </c>
      <c r="L109" s="6">
        <f t="shared" si="47"/>
        <v>67760.912320000003</v>
      </c>
      <c r="M109" s="6">
        <f t="shared" si="47"/>
        <v>74958.729856000005</v>
      </c>
      <c r="N109" s="6">
        <f t="shared" si="47"/>
        <v>80716.983884800007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outlineLevel="1" x14ac:dyDescent="0.25">
      <c r="A110" s="6" t="s">
        <v>209</v>
      </c>
      <c r="B110" s="6"/>
      <c r="C110" s="7"/>
      <c r="D110" s="48"/>
      <c r="E110" s="48"/>
      <c r="F110" s="48"/>
      <c r="G110" s="48"/>
      <c r="H110" s="48"/>
      <c r="I110" s="48">
        <f>+('Acquirer Model'!I140+'Target Model'!I140)*I6</f>
        <v>10375</v>
      </c>
      <c r="J110" s="48">
        <f>+('Acquirer Model'!J140+'Target Model'!J140)*J6</f>
        <v>20750</v>
      </c>
      <c r="K110" s="48">
        <f>+('Acquirer Model'!K140+'Target Model'!K140)*K6</f>
        <v>20750</v>
      </c>
      <c r="L110" s="48">
        <f>+('Acquirer Model'!L140+'Target Model'!L140)*L6</f>
        <v>20750</v>
      </c>
      <c r="M110" s="48">
        <f>+('Acquirer Model'!M140+'Target Model'!M140)*M6</f>
        <v>20750</v>
      </c>
      <c r="N110" s="48">
        <f>+('Acquirer Model'!N140+'Target Model'!N140)*N6</f>
        <v>20750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outlineLevel="1" x14ac:dyDescent="0.25">
      <c r="A111" s="6" t="s">
        <v>210</v>
      </c>
      <c r="B111" s="6"/>
      <c r="C111" s="126"/>
      <c r="D111" s="48"/>
      <c r="E111" s="48"/>
      <c r="F111" s="48"/>
      <c r="G111" s="48"/>
      <c r="H111" s="48"/>
      <c r="I111" s="6">
        <f t="shared" ref="I111:N111" si="48">+I109*I21*I6</f>
        <v>4126.8945000000003</v>
      </c>
      <c r="J111" s="6">
        <f t="shared" si="48"/>
        <v>9503.4100999999991</v>
      </c>
      <c r="K111" s="6">
        <f t="shared" si="48"/>
        <v>11752.728080000001</v>
      </c>
      <c r="L111" s="6">
        <f t="shared" si="48"/>
        <v>13552.182464000001</v>
      </c>
      <c r="M111" s="6">
        <f t="shared" si="48"/>
        <v>14991.745971200002</v>
      </c>
      <c r="N111" s="6">
        <f t="shared" si="48"/>
        <v>16143.396776960002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outlineLevel="1" x14ac:dyDescent="0.25">
      <c r="A112" s="26" t="s">
        <v>211</v>
      </c>
      <c r="B112" s="26"/>
      <c r="C112" s="45"/>
      <c r="D112" s="26"/>
      <c r="E112" s="26"/>
      <c r="F112" s="26"/>
      <c r="G112" s="26"/>
      <c r="H112" s="26">
        <f>+H55</f>
        <v>41268.945</v>
      </c>
      <c r="I112" s="26">
        <f t="shared" ref="I112:N112" si="49">+I109+I110-I111</f>
        <v>47517.050499999998</v>
      </c>
      <c r="J112" s="26">
        <f t="shared" si="49"/>
        <v>58763.640399999997</v>
      </c>
      <c r="K112" s="26">
        <f t="shared" si="49"/>
        <v>67760.912320000003</v>
      </c>
      <c r="L112" s="26">
        <f t="shared" si="49"/>
        <v>74958.729856000005</v>
      </c>
      <c r="M112" s="26">
        <f t="shared" si="49"/>
        <v>80716.983884800007</v>
      </c>
      <c r="N112" s="26">
        <f t="shared" si="49"/>
        <v>85323.587107840009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outlineLevel="1" x14ac:dyDescent="0.25">
      <c r="A113" s="6"/>
      <c r="B113" s="6"/>
      <c r="C113" s="7"/>
      <c r="D113" s="19"/>
      <c r="E113" s="19"/>
      <c r="F113" s="19"/>
      <c r="G113" s="19"/>
      <c r="H113" s="1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outlineLevel="1" x14ac:dyDescent="0.25">
      <c r="A114" s="12" t="s">
        <v>212</v>
      </c>
      <c r="B114" s="13"/>
      <c r="C114" s="14"/>
      <c r="D114" s="135"/>
      <c r="E114" s="135"/>
      <c r="F114" s="135"/>
      <c r="G114" s="135"/>
      <c r="H114" s="135"/>
      <c r="I114" s="13"/>
      <c r="J114" s="13"/>
      <c r="K114" s="13"/>
      <c r="L114" s="13"/>
      <c r="M114" s="13"/>
      <c r="N114" s="1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outlineLevel="1" x14ac:dyDescent="0.25">
      <c r="A115" s="25" t="s">
        <v>34</v>
      </c>
      <c r="B115" s="6"/>
      <c r="C115" s="7"/>
      <c r="D115" s="19"/>
      <c r="E115" s="19"/>
      <c r="F115" s="19"/>
      <c r="G115" s="19"/>
      <c r="H115" s="1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outlineLevel="1" x14ac:dyDescent="0.25">
      <c r="A116" s="6" t="s">
        <v>213</v>
      </c>
      <c r="B116" s="6"/>
      <c r="C116" s="7"/>
      <c r="D116" s="19"/>
      <c r="E116" s="19"/>
      <c r="F116" s="19"/>
      <c r="G116" s="19"/>
      <c r="H116" s="6"/>
      <c r="I116" s="6">
        <f t="shared" ref="I116:N116" ca="1" si="50">+H118</f>
        <v>0</v>
      </c>
      <c r="J116" s="6">
        <f t="shared" ca="1" si="50"/>
        <v>0</v>
      </c>
      <c r="K116" s="6">
        <f t="shared" ca="1" si="50"/>
        <v>0</v>
      </c>
      <c r="L116" s="6">
        <f t="shared" ca="1" si="50"/>
        <v>0</v>
      </c>
      <c r="M116" s="6">
        <f t="shared" ca="1" si="50"/>
        <v>0</v>
      </c>
      <c r="N116" s="6">
        <f t="shared" ca="1" si="50"/>
        <v>0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outlineLevel="1" x14ac:dyDescent="0.25">
      <c r="A117" s="6" t="s">
        <v>214</v>
      </c>
      <c r="B117" s="6"/>
      <c r="C117" s="7"/>
      <c r="D117" s="19"/>
      <c r="E117" s="19"/>
      <c r="F117" s="19"/>
      <c r="G117" s="19"/>
      <c r="H117" s="6"/>
      <c r="I117" s="6">
        <f t="shared" ref="I117:N117" ca="1" si="51">-$H$118*I12</f>
        <v>0</v>
      </c>
      <c r="J117" s="6">
        <f t="shared" ca="1" si="51"/>
        <v>0</v>
      </c>
      <c r="K117" s="6">
        <f t="shared" ca="1" si="51"/>
        <v>0</v>
      </c>
      <c r="L117" s="6">
        <f t="shared" ca="1" si="51"/>
        <v>0</v>
      </c>
      <c r="M117" s="6">
        <f t="shared" ca="1" si="51"/>
        <v>0</v>
      </c>
      <c r="N117" s="6">
        <f t="shared" ca="1" si="51"/>
        <v>0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outlineLevel="1" x14ac:dyDescent="0.25">
      <c r="A118" s="26" t="s">
        <v>215</v>
      </c>
      <c r="B118" s="26"/>
      <c r="C118" s="45"/>
      <c r="D118" s="28"/>
      <c r="E118" s="28"/>
      <c r="F118" s="28"/>
      <c r="G118" s="28"/>
      <c r="H118" s="52">
        <f ca="1">+'M&amp;A Assumptions &amp; Analysis'!H20</f>
        <v>0</v>
      </c>
      <c r="I118" s="26">
        <f t="shared" ref="I118:N118" ca="1" si="52">SUM(I116:I117)</f>
        <v>0</v>
      </c>
      <c r="J118" s="26">
        <f t="shared" ca="1" si="52"/>
        <v>0</v>
      </c>
      <c r="K118" s="26">
        <f t="shared" ca="1" si="52"/>
        <v>0</v>
      </c>
      <c r="L118" s="26">
        <f t="shared" ca="1" si="52"/>
        <v>0</v>
      </c>
      <c r="M118" s="26">
        <f t="shared" ca="1" si="52"/>
        <v>0</v>
      </c>
      <c r="N118" s="26">
        <f t="shared" ca="1" si="52"/>
        <v>0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outlineLevel="1" x14ac:dyDescent="0.25">
      <c r="A119" s="25"/>
      <c r="B119" s="6"/>
      <c r="C119" s="7"/>
      <c r="D119" s="19"/>
      <c r="E119" s="19"/>
      <c r="F119" s="19"/>
      <c r="G119" s="19"/>
      <c r="H119" s="1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outlineLevel="1" x14ac:dyDescent="0.25">
      <c r="A120" s="25" t="s">
        <v>35</v>
      </c>
      <c r="B120" s="6"/>
      <c r="C120" s="7"/>
      <c r="D120" s="19"/>
      <c r="E120" s="19"/>
      <c r="F120" s="19"/>
      <c r="G120" s="19"/>
      <c r="H120" s="1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outlineLevel="1" x14ac:dyDescent="0.25">
      <c r="A121" s="6" t="s">
        <v>213</v>
      </c>
      <c r="B121" s="6"/>
      <c r="C121" s="7"/>
      <c r="D121" s="19"/>
      <c r="E121" s="19"/>
      <c r="F121" s="19"/>
      <c r="G121" s="19"/>
      <c r="H121" s="19"/>
      <c r="I121" s="6">
        <f t="shared" ref="I121:N121" ca="1" si="53">+H123</f>
        <v>0</v>
      </c>
      <c r="J121" s="6">
        <f t="shared" ca="1" si="53"/>
        <v>0</v>
      </c>
      <c r="K121" s="6">
        <f t="shared" ca="1" si="53"/>
        <v>0</v>
      </c>
      <c r="L121" s="6">
        <f t="shared" ca="1" si="53"/>
        <v>0</v>
      </c>
      <c r="M121" s="6">
        <f t="shared" ca="1" si="53"/>
        <v>0</v>
      </c>
      <c r="N121" s="6">
        <f t="shared" ca="1" si="53"/>
        <v>0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outlineLevel="1" x14ac:dyDescent="0.25">
      <c r="A122" s="6" t="s">
        <v>214</v>
      </c>
      <c r="B122" s="6"/>
      <c r="C122" s="7"/>
      <c r="D122" s="19"/>
      <c r="E122" s="19"/>
      <c r="F122" s="19"/>
      <c r="G122" s="19"/>
      <c r="H122" s="19"/>
      <c r="I122" s="6">
        <f t="shared" ref="I122:N122" ca="1" si="54">-$H$123*I13</f>
        <v>0</v>
      </c>
      <c r="J122" s="6">
        <f t="shared" ca="1" si="54"/>
        <v>0</v>
      </c>
      <c r="K122" s="6">
        <f t="shared" ca="1" si="54"/>
        <v>0</v>
      </c>
      <c r="L122" s="6">
        <f t="shared" ca="1" si="54"/>
        <v>0</v>
      </c>
      <c r="M122" s="6">
        <f t="shared" ca="1" si="54"/>
        <v>0</v>
      </c>
      <c r="N122" s="6">
        <f t="shared" ca="1" si="54"/>
        <v>0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outlineLevel="1" x14ac:dyDescent="0.25">
      <c r="A123" s="26" t="s">
        <v>215</v>
      </c>
      <c r="B123" s="26"/>
      <c r="C123" s="45"/>
      <c r="D123" s="28"/>
      <c r="E123" s="28"/>
      <c r="F123" s="28"/>
      <c r="G123" s="28"/>
      <c r="H123" s="52">
        <f ca="1">+'M&amp;A Assumptions &amp; Analysis'!H21</f>
        <v>0</v>
      </c>
      <c r="I123" s="26">
        <f t="shared" ref="I123:N123" ca="1" si="55">SUM(I121:I122)</f>
        <v>0</v>
      </c>
      <c r="J123" s="26">
        <f t="shared" ca="1" si="55"/>
        <v>0</v>
      </c>
      <c r="K123" s="26">
        <f t="shared" ca="1" si="55"/>
        <v>0</v>
      </c>
      <c r="L123" s="26">
        <f t="shared" ca="1" si="55"/>
        <v>0</v>
      </c>
      <c r="M123" s="26">
        <f t="shared" ca="1" si="55"/>
        <v>0</v>
      </c>
      <c r="N123" s="26">
        <f t="shared" ca="1" si="55"/>
        <v>0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outlineLevel="1" x14ac:dyDescent="0.25">
      <c r="A124" s="25"/>
      <c r="B124" s="6"/>
      <c r="C124" s="7"/>
      <c r="D124" s="19"/>
      <c r="E124" s="19"/>
      <c r="F124" s="19"/>
      <c r="G124" s="19"/>
      <c r="H124" s="1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outlineLevel="1" x14ac:dyDescent="0.25">
      <c r="A125" s="25" t="s">
        <v>37</v>
      </c>
      <c r="B125" s="6"/>
      <c r="C125" s="7"/>
      <c r="D125" s="19"/>
      <c r="E125" s="19"/>
      <c r="F125" s="19"/>
      <c r="G125" s="19"/>
      <c r="H125" s="1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outlineLevel="1" x14ac:dyDescent="0.25">
      <c r="A126" s="6" t="s">
        <v>213</v>
      </c>
      <c r="B126" s="6"/>
      <c r="C126" s="7"/>
      <c r="D126" s="19"/>
      <c r="E126" s="19"/>
      <c r="F126" s="19"/>
      <c r="G126" s="19"/>
      <c r="H126" s="19"/>
      <c r="I126" s="6">
        <f t="shared" ref="I126:N126" ca="1" si="56">+H128</f>
        <v>0</v>
      </c>
      <c r="J126" s="6">
        <f t="shared" ca="1" si="56"/>
        <v>0</v>
      </c>
      <c r="K126" s="6">
        <f t="shared" ca="1" si="56"/>
        <v>0</v>
      </c>
      <c r="L126" s="6">
        <f t="shared" ca="1" si="56"/>
        <v>0</v>
      </c>
      <c r="M126" s="6">
        <f t="shared" ca="1" si="56"/>
        <v>0</v>
      </c>
      <c r="N126" s="6">
        <f t="shared" ca="1" si="56"/>
        <v>0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outlineLevel="1" x14ac:dyDescent="0.25">
      <c r="A127" s="6" t="s">
        <v>214</v>
      </c>
      <c r="B127" s="6"/>
      <c r="C127" s="7"/>
      <c r="D127" s="19"/>
      <c r="E127" s="19"/>
      <c r="F127" s="19"/>
      <c r="G127" s="19"/>
      <c r="H127" s="19"/>
      <c r="I127" s="6">
        <f t="shared" ref="I127:N127" ca="1" si="57">-$H$128*I14</f>
        <v>0</v>
      </c>
      <c r="J127" s="6">
        <f t="shared" ca="1" si="57"/>
        <v>0</v>
      </c>
      <c r="K127" s="6">
        <f t="shared" ca="1" si="57"/>
        <v>0</v>
      </c>
      <c r="L127" s="6">
        <f t="shared" ca="1" si="57"/>
        <v>0</v>
      </c>
      <c r="M127" s="6">
        <f t="shared" ca="1" si="57"/>
        <v>0</v>
      </c>
      <c r="N127" s="6">
        <f t="shared" ca="1" si="57"/>
        <v>0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outlineLevel="1" x14ac:dyDescent="0.25">
      <c r="A128" s="26" t="s">
        <v>215</v>
      </c>
      <c r="B128" s="26"/>
      <c r="C128" s="45"/>
      <c r="D128" s="28"/>
      <c r="E128" s="28"/>
      <c r="F128" s="28"/>
      <c r="G128" s="28"/>
      <c r="H128" s="52">
        <f ca="1">+'M&amp;A Assumptions &amp; Analysis'!H22</f>
        <v>0</v>
      </c>
      <c r="I128" s="26">
        <f t="shared" ref="I128:N128" ca="1" si="58">SUM(I126:I127)</f>
        <v>0</v>
      </c>
      <c r="J128" s="26">
        <f t="shared" ca="1" si="58"/>
        <v>0</v>
      </c>
      <c r="K128" s="26">
        <f t="shared" ca="1" si="58"/>
        <v>0</v>
      </c>
      <c r="L128" s="26">
        <f t="shared" ca="1" si="58"/>
        <v>0</v>
      </c>
      <c r="M128" s="26">
        <f t="shared" ca="1" si="58"/>
        <v>0</v>
      </c>
      <c r="N128" s="26">
        <f t="shared" ca="1" si="58"/>
        <v>0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outlineLevel="1" x14ac:dyDescent="0.25">
      <c r="A129" s="6"/>
      <c r="B129" s="6"/>
      <c r="C129" s="7"/>
      <c r="D129" s="19"/>
      <c r="E129" s="19"/>
      <c r="F129" s="19"/>
      <c r="G129" s="19"/>
      <c r="H129" s="1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outlineLevel="1" x14ac:dyDescent="0.25">
      <c r="A130" s="25" t="s">
        <v>216</v>
      </c>
      <c r="B130" s="6"/>
      <c r="C130" s="7"/>
      <c r="D130" s="19"/>
      <c r="E130" s="19"/>
      <c r="F130" s="19"/>
      <c r="G130" s="19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outlineLevel="1" x14ac:dyDescent="0.25">
      <c r="A131" s="6" t="s">
        <v>213</v>
      </c>
      <c r="B131" s="6"/>
      <c r="C131" s="7"/>
      <c r="D131" s="19"/>
      <c r="E131" s="19"/>
      <c r="F131" s="19"/>
      <c r="G131" s="19"/>
      <c r="H131" s="19"/>
      <c r="I131" s="6">
        <f t="shared" ref="I131:N131" si="59">+H133</f>
        <v>16801</v>
      </c>
      <c r="J131" s="6">
        <f t="shared" si="59"/>
        <v>16801</v>
      </c>
      <c r="K131" s="6">
        <f t="shared" si="59"/>
        <v>16801</v>
      </c>
      <c r="L131" s="6">
        <f t="shared" si="59"/>
        <v>16801</v>
      </c>
      <c r="M131" s="6">
        <f t="shared" si="59"/>
        <v>16801</v>
      </c>
      <c r="N131" s="6">
        <f t="shared" si="59"/>
        <v>16801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outlineLevel="1" x14ac:dyDescent="0.25">
      <c r="A132" s="6" t="s">
        <v>214</v>
      </c>
      <c r="B132" s="6"/>
      <c r="C132" s="7"/>
      <c r="D132" s="19"/>
      <c r="E132" s="19"/>
      <c r="F132" s="19"/>
      <c r="G132" s="19"/>
      <c r="H132" s="19"/>
      <c r="I132" s="48">
        <f>IF(I131&gt;0,'Target Model'!I146*'Pro Forma Model'!I6,0)</f>
        <v>0</v>
      </c>
      <c r="J132" s="48">
        <f>IF(J131&gt;0,'Target Model'!J146*'Pro Forma Model'!J6,0)</f>
        <v>0</v>
      </c>
      <c r="K132" s="48">
        <f>IF(K131&gt;0,'Target Model'!K146*'Pro Forma Model'!K6,0)</f>
        <v>0</v>
      </c>
      <c r="L132" s="48">
        <f>IF(L131&gt;0,'Target Model'!L146*'Pro Forma Model'!L6,0)</f>
        <v>0</v>
      </c>
      <c r="M132" s="48">
        <f>IF(M131&gt;0,'Target Model'!M146*'Pro Forma Model'!M6,0)</f>
        <v>0</v>
      </c>
      <c r="N132" s="48">
        <f>IF(N131&gt;0,'Target Model'!N146*'Pro Forma Model'!N6,0)</f>
        <v>-10000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outlineLevel="1" x14ac:dyDescent="0.25">
      <c r="A133" s="26" t="s">
        <v>215</v>
      </c>
      <c r="B133" s="26"/>
      <c r="C133" s="45"/>
      <c r="D133" s="28"/>
      <c r="E133" s="28"/>
      <c r="F133" s="28"/>
      <c r="G133" s="28"/>
      <c r="H133" s="52">
        <v>16801</v>
      </c>
      <c r="I133" s="26">
        <f t="shared" ref="I133:N133" si="60">SUM(I131:I132)</f>
        <v>16801</v>
      </c>
      <c r="J133" s="26">
        <f t="shared" si="60"/>
        <v>16801</v>
      </c>
      <c r="K133" s="26">
        <f t="shared" si="60"/>
        <v>16801</v>
      </c>
      <c r="L133" s="26">
        <f t="shared" si="60"/>
        <v>16801</v>
      </c>
      <c r="M133" s="26">
        <f t="shared" si="60"/>
        <v>16801</v>
      </c>
      <c r="N133" s="26">
        <f t="shared" si="60"/>
        <v>6801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outlineLevel="1" x14ac:dyDescent="0.25">
      <c r="A134" s="6"/>
      <c r="B134" s="6"/>
      <c r="C134" s="7"/>
      <c r="D134" s="19"/>
      <c r="E134" s="19"/>
      <c r="F134" s="19"/>
      <c r="G134" s="19"/>
      <c r="H134" s="1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outlineLevel="1" x14ac:dyDescent="0.25">
      <c r="A135" s="25" t="s">
        <v>217</v>
      </c>
      <c r="B135" s="6"/>
      <c r="C135" s="7"/>
      <c r="D135" s="19"/>
      <c r="E135" s="19"/>
      <c r="F135" s="19"/>
      <c r="G135" s="19"/>
      <c r="H135" s="1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outlineLevel="1" x14ac:dyDescent="0.25">
      <c r="A136" s="6" t="s">
        <v>213</v>
      </c>
      <c r="B136" s="6"/>
      <c r="C136" s="7"/>
      <c r="D136" s="19"/>
      <c r="E136" s="19"/>
      <c r="F136" s="19"/>
      <c r="G136" s="19"/>
      <c r="H136" s="19"/>
      <c r="I136" s="6">
        <f t="shared" ref="I136:N136" si="61">+H138</f>
        <v>0</v>
      </c>
      <c r="J136" s="6">
        <f t="shared" si="61"/>
        <v>0</v>
      </c>
      <c r="K136" s="6">
        <f t="shared" si="61"/>
        <v>0</v>
      </c>
      <c r="L136" s="6">
        <f t="shared" si="61"/>
        <v>0</v>
      </c>
      <c r="M136" s="6">
        <f t="shared" si="61"/>
        <v>0</v>
      </c>
      <c r="N136" s="6">
        <f t="shared" si="61"/>
        <v>0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outlineLevel="1" x14ac:dyDescent="0.25">
      <c r="A137" s="6" t="s">
        <v>214</v>
      </c>
      <c r="B137" s="6"/>
      <c r="C137" s="7"/>
      <c r="D137" s="19"/>
      <c r="E137" s="19"/>
      <c r="F137" s="19"/>
      <c r="G137" s="19"/>
      <c r="H137" s="19"/>
      <c r="I137" s="48">
        <f>IF(I136&gt;0,'Acquirer Model'!I146*'Pro Forma Model'!I6,0)</f>
        <v>0</v>
      </c>
      <c r="J137" s="48">
        <f>IF(J136&gt;0,'Acquirer Model'!J146*'Pro Forma Model'!J6,0)</f>
        <v>0</v>
      </c>
      <c r="K137" s="48">
        <f>IF(K136&gt;0,'Acquirer Model'!K146*'Pro Forma Model'!K6,0)</f>
        <v>0</v>
      </c>
      <c r="L137" s="48">
        <f>IF(L136&gt;0,'Acquirer Model'!L146*'Pro Forma Model'!L6,0)</f>
        <v>0</v>
      </c>
      <c r="M137" s="48">
        <f>IF(M136&gt;0,'Acquirer Model'!M146*'Pro Forma Model'!M6,0)</f>
        <v>0</v>
      </c>
      <c r="N137" s="48">
        <f>IF(N136&gt;0,'Acquirer Model'!N146*'Pro Forma Model'!N6,0)</f>
        <v>0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outlineLevel="1" x14ac:dyDescent="0.25">
      <c r="A138" s="26" t="s">
        <v>215</v>
      </c>
      <c r="B138" s="26"/>
      <c r="C138" s="45"/>
      <c r="D138" s="28"/>
      <c r="E138" s="28"/>
      <c r="F138" s="28"/>
      <c r="G138" s="28"/>
      <c r="H138" s="52">
        <f>+'M&amp;A Assumptions &amp; Analysis'!D78+'M&amp;A Assumptions &amp; Analysis'!D75-'M&amp;A Assumptions &amp; Analysis'!M40</f>
        <v>0</v>
      </c>
      <c r="I138" s="26">
        <f t="shared" ref="I138:N138" si="62">SUM(I136:I137)</f>
        <v>0</v>
      </c>
      <c r="J138" s="26">
        <f t="shared" si="62"/>
        <v>0</v>
      </c>
      <c r="K138" s="26">
        <f t="shared" si="62"/>
        <v>0</v>
      </c>
      <c r="L138" s="26">
        <f t="shared" si="62"/>
        <v>0</v>
      </c>
      <c r="M138" s="26">
        <f t="shared" si="62"/>
        <v>0</v>
      </c>
      <c r="N138" s="26">
        <f t="shared" si="62"/>
        <v>0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outlineLevel="1" x14ac:dyDescent="0.25">
      <c r="A139" s="6"/>
      <c r="B139" s="6"/>
      <c r="C139" s="7"/>
      <c r="D139" s="19"/>
      <c r="E139" s="19"/>
      <c r="F139" s="19"/>
      <c r="G139" s="19"/>
      <c r="H139" s="1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outlineLevel="1" x14ac:dyDescent="0.25">
      <c r="A140" s="25" t="s">
        <v>218</v>
      </c>
      <c r="B140" s="6"/>
      <c r="C140" s="7"/>
      <c r="D140" s="19"/>
      <c r="E140" s="19"/>
      <c r="F140" s="19"/>
      <c r="G140" s="19"/>
      <c r="H140" s="1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outlineLevel="1" x14ac:dyDescent="0.25">
      <c r="A141" s="6" t="s">
        <v>213</v>
      </c>
      <c r="B141" s="6"/>
      <c r="C141" s="7"/>
      <c r="D141" s="19"/>
      <c r="E141" s="19"/>
      <c r="F141" s="19"/>
      <c r="G141" s="19"/>
      <c r="H141" s="19"/>
      <c r="I141" s="6">
        <f t="shared" ref="I141:N141" ca="1" si="63">+H143</f>
        <v>16801</v>
      </c>
      <c r="J141" s="6">
        <f t="shared" ca="1" si="63"/>
        <v>16801</v>
      </c>
      <c r="K141" s="6">
        <f t="shared" ca="1" si="63"/>
        <v>16801</v>
      </c>
      <c r="L141" s="6">
        <f t="shared" ca="1" si="63"/>
        <v>16801</v>
      </c>
      <c r="M141" s="6">
        <f t="shared" ca="1" si="63"/>
        <v>16801</v>
      </c>
      <c r="N141" s="6">
        <f t="shared" ca="1" si="63"/>
        <v>16801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outlineLevel="1" x14ac:dyDescent="0.25">
      <c r="A142" s="6" t="s">
        <v>214</v>
      </c>
      <c r="B142" s="6"/>
      <c r="C142" s="7"/>
      <c r="D142" s="19"/>
      <c r="E142" s="19"/>
      <c r="F142" s="19"/>
      <c r="G142" s="19"/>
      <c r="H142" s="19"/>
      <c r="I142" s="6">
        <f t="shared" ref="I142:N142" ca="1" si="64">+I137+I132+I127+I122+I117</f>
        <v>0</v>
      </c>
      <c r="J142" s="6">
        <f t="shared" ca="1" si="64"/>
        <v>0</v>
      </c>
      <c r="K142" s="6">
        <f t="shared" ca="1" si="64"/>
        <v>0</v>
      </c>
      <c r="L142" s="6">
        <f t="shared" ca="1" si="64"/>
        <v>0</v>
      </c>
      <c r="M142" s="6">
        <f t="shared" ca="1" si="64"/>
        <v>0</v>
      </c>
      <c r="N142" s="6">
        <f t="shared" ca="1" si="64"/>
        <v>-10000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outlineLevel="1" x14ac:dyDescent="0.25">
      <c r="A143" s="35" t="s">
        <v>215</v>
      </c>
      <c r="B143" s="35"/>
      <c r="C143" s="49"/>
      <c r="D143" s="136"/>
      <c r="E143" s="136"/>
      <c r="F143" s="136"/>
      <c r="G143" s="136"/>
      <c r="H143" s="35">
        <f ca="1">+H138+H133+H128+H123+H118</f>
        <v>16801</v>
      </c>
      <c r="I143" s="35">
        <f t="shared" ref="I143:N143" ca="1" si="65">SUM(I141:I142)</f>
        <v>16801</v>
      </c>
      <c r="J143" s="35">
        <f t="shared" ca="1" si="65"/>
        <v>16801</v>
      </c>
      <c r="K143" s="35">
        <f t="shared" ca="1" si="65"/>
        <v>16801</v>
      </c>
      <c r="L143" s="35">
        <f t="shared" ca="1" si="65"/>
        <v>16801</v>
      </c>
      <c r="M143" s="35">
        <f t="shared" ca="1" si="65"/>
        <v>16801</v>
      </c>
      <c r="N143" s="35">
        <f t="shared" ca="1" si="65"/>
        <v>6801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outlineLevel="1" x14ac:dyDescent="0.25">
      <c r="A144" s="6"/>
      <c r="B144" s="6"/>
      <c r="C144" s="7"/>
      <c r="D144" s="19"/>
      <c r="E144" s="19"/>
      <c r="F144" s="19"/>
      <c r="G144" s="19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outlineLevel="1" x14ac:dyDescent="0.25">
      <c r="A145" s="6"/>
      <c r="B145" s="6"/>
      <c r="C145" s="7"/>
      <c r="D145" s="19"/>
      <c r="E145" s="19"/>
      <c r="F145" s="19"/>
      <c r="G145" s="19"/>
      <c r="H145" s="1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outlineLevel="1" x14ac:dyDescent="0.25">
      <c r="A146" s="12" t="s">
        <v>219</v>
      </c>
      <c r="B146" s="13"/>
      <c r="C146" s="14"/>
      <c r="D146" s="135"/>
      <c r="E146" s="135"/>
      <c r="F146" s="135"/>
      <c r="G146" s="135"/>
      <c r="H146" s="135"/>
      <c r="I146" s="13"/>
      <c r="J146" s="13"/>
      <c r="K146" s="13"/>
      <c r="L146" s="13"/>
      <c r="M146" s="13"/>
      <c r="N146" s="1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outlineLevel="1" x14ac:dyDescent="0.25">
      <c r="A147" s="25" t="s">
        <v>220</v>
      </c>
      <c r="B147" s="6"/>
      <c r="C147" s="7"/>
      <c r="D147" s="19"/>
      <c r="E147" s="19"/>
      <c r="F147" s="19"/>
      <c r="G147" s="19"/>
      <c r="H147" s="1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outlineLevel="1" x14ac:dyDescent="0.25">
      <c r="A148" s="6" t="s">
        <v>34</v>
      </c>
      <c r="B148" s="6"/>
      <c r="C148" s="7"/>
      <c r="D148" s="19"/>
      <c r="E148" s="19"/>
      <c r="F148" s="19"/>
      <c r="G148" s="19"/>
      <c r="H148" s="6"/>
      <c r="I148" s="137">
        <f ca="1">+'M&amp;A Assumptions &amp; Analysis'!H24</f>
        <v>5.5E-2</v>
      </c>
      <c r="J148" s="44">
        <f t="shared" ref="J148:N148" ca="1" si="66">+I148</f>
        <v>5.5E-2</v>
      </c>
      <c r="K148" s="44">
        <f t="shared" ca="1" si="66"/>
        <v>5.5E-2</v>
      </c>
      <c r="L148" s="44">
        <f t="shared" ca="1" si="66"/>
        <v>5.5E-2</v>
      </c>
      <c r="M148" s="44">
        <f t="shared" ca="1" si="66"/>
        <v>5.5E-2</v>
      </c>
      <c r="N148" s="44">
        <f t="shared" ca="1" si="66"/>
        <v>5.5E-2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outlineLevel="1" x14ac:dyDescent="0.25">
      <c r="A149" s="6" t="s">
        <v>35</v>
      </c>
      <c r="B149" s="6"/>
      <c r="C149" s="7"/>
      <c r="D149" s="19"/>
      <c r="E149" s="19"/>
      <c r="F149" s="19"/>
      <c r="G149" s="19"/>
      <c r="H149" s="6"/>
      <c r="I149" s="137">
        <f ca="1">+'M&amp;A Assumptions &amp; Analysis'!H25</f>
        <v>5.7500000000000002E-2</v>
      </c>
      <c r="J149" s="44">
        <f t="shared" ref="J149:N149" ca="1" si="67">+I149</f>
        <v>5.7500000000000002E-2</v>
      </c>
      <c r="K149" s="44">
        <f t="shared" ca="1" si="67"/>
        <v>5.7500000000000002E-2</v>
      </c>
      <c r="L149" s="44">
        <f t="shared" ca="1" si="67"/>
        <v>5.7500000000000002E-2</v>
      </c>
      <c r="M149" s="44">
        <f t="shared" ca="1" si="67"/>
        <v>5.7500000000000002E-2</v>
      </c>
      <c r="N149" s="44">
        <f t="shared" ca="1" si="67"/>
        <v>5.7500000000000002E-2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outlineLevel="1" x14ac:dyDescent="0.25">
      <c r="A150" s="6" t="s">
        <v>37</v>
      </c>
      <c r="B150" s="6"/>
      <c r="C150" s="7"/>
      <c r="D150" s="19"/>
      <c r="E150" s="19"/>
      <c r="F150" s="19"/>
      <c r="G150" s="19"/>
      <c r="H150" s="6"/>
      <c r="I150" s="137">
        <f ca="1">+'M&amp;A Assumptions &amp; Analysis'!H26</f>
        <v>8.2500000000000004E-2</v>
      </c>
      <c r="J150" s="44">
        <f t="shared" ref="J150:N150" ca="1" si="68">+I150</f>
        <v>8.2500000000000004E-2</v>
      </c>
      <c r="K150" s="44">
        <f t="shared" ca="1" si="68"/>
        <v>8.2500000000000004E-2</v>
      </c>
      <c r="L150" s="44">
        <f t="shared" ca="1" si="68"/>
        <v>8.2500000000000004E-2</v>
      </c>
      <c r="M150" s="44">
        <f t="shared" ca="1" si="68"/>
        <v>8.2500000000000004E-2</v>
      </c>
      <c r="N150" s="44">
        <f t="shared" ca="1" si="68"/>
        <v>8.2500000000000004E-2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outlineLevel="1" x14ac:dyDescent="0.25">
      <c r="A151" s="6" t="s">
        <v>216</v>
      </c>
      <c r="B151" s="6"/>
      <c r="C151" s="7"/>
      <c r="D151" s="19"/>
      <c r="E151" s="19"/>
      <c r="F151" s="19"/>
      <c r="G151" s="19"/>
      <c r="H151" s="6"/>
      <c r="I151" s="137">
        <f>+'Target Model'!I50</f>
        <v>0.08</v>
      </c>
      <c r="J151" s="137">
        <f>+'Target Model'!J50</f>
        <v>0.08</v>
      </c>
      <c r="K151" s="137">
        <f>+'Target Model'!K50</f>
        <v>0.08</v>
      </c>
      <c r="L151" s="137">
        <f>+'Target Model'!L50</f>
        <v>0.08</v>
      </c>
      <c r="M151" s="137">
        <f>+'Target Model'!M50</f>
        <v>0.08</v>
      </c>
      <c r="N151" s="137">
        <f>+'Target Model'!N50</f>
        <v>0.08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outlineLevel="1" x14ac:dyDescent="0.25">
      <c r="A152" s="6" t="s">
        <v>217</v>
      </c>
      <c r="B152" s="6"/>
      <c r="C152" s="7"/>
      <c r="D152" s="19"/>
      <c r="E152" s="19"/>
      <c r="F152" s="19"/>
      <c r="G152" s="19"/>
      <c r="H152" s="6"/>
      <c r="I152" s="137">
        <f>+'Acquirer Model'!I50</f>
        <v>0.1</v>
      </c>
      <c r="J152" s="137">
        <f>+'Acquirer Model'!J50</f>
        <v>0.1</v>
      </c>
      <c r="K152" s="137">
        <f>+'Acquirer Model'!K50</f>
        <v>0.1</v>
      </c>
      <c r="L152" s="137">
        <f>+'Acquirer Model'!L50</f>
        <v>0.1</v>
      </c>
      <c r="M152" s="137">
        <f>+'Acquirer Model'!M50</f>
        <v>0.1</v>
      </c>
      <c r="N152" s="137">
        <f>+'Acquirer Model'!N50</f>
        <v>0.1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outlineLevel="1" x14ac:dyDescent="0.25">
      <c r="A153" s="6"/>
      <c r="B153" s="6"/>
      <c r="C153" s="7"/>
      <c r="D153" s="19"/>
      <c r="E153" s="19"/>
      <c r="F153" s="19"/>
      <c r="G153" s="19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outlineLevel="1" x14ac:dyDescent="0.25">
      <c r="A154" s="25" t="s">
        <v>221</v>
      </c>
      <c r="B154" s="6"/>
      <c r="C154" s="7"/>
      <c r="D154" s="19"/>
      <c r="E154" s="19"/>
      <c r="F154" s="19"/>
      <c r="G154" s="19"/>
      <c r="H154" s="1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outlineLevel="1" x14ac:dyDescent="0.25">
      <c r="A155" s="6" t="s">
        <v>34</v>
      </c>
      <c r="B155" s="6"/>
      <c r="C155" s="7"/>
      <c r="D155" s="19"/>
      <c r="E155" s="19"/>
      <c r="F155" s="19"/>
      <c r="G155" s="19"/>
      <c r="H155" s="6"/>
      <c r="I155" s="6">
        <f t="shared" ref="I155:N155" ca="1" si="69">+I116*I148*I6</f>
        <v>0</v>
      </c>
      <c r="J155" s="6">
        <f t="shared" ca="1" si="69"/>
        <v>0</v>
      </c>
      <c r="K155" s="6">
        <f t="shared" ca="1" si="69"/>
        <v>0</v>
      </c>
      <c r="L155" s="6">
        <f t="shared" ca="1" si="69"/>
        <v>0</v>
      </c>
      <c r="M155" s="6">
        <f t="shared" ca="1" si="69"/>
        <v>0</v>
      </c>
      <c r="N155" s="6">
        <f t="shared" ca="1" si="69"/>
        <v>0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outlineLevel="1" x14ac:dyDescent="0.25">
      <c r="A156" s="6" t="s">
        <v>35</v>
      </c>
      <c r="B156" s="6"/>
      <c r="C156" s="7"/>
      <c r="D156" s="19"/>
      <c r="E156" s="19"/>
      <c r="F156" s="19"/>
      <c r="G156" s="19"/>
      <c r="H156" s="6"/>
      <c r="I156" s="6">
        <f t="shared" ref="I156:N156" ca="1" si="70">+I149*I6*I121</f>
        <v>0</v>
      </c>
      <c r="J156" s="6">
        <f t="shared" ca="1" si="70"/>
        <v>0</v>
      </c>
      <c r="K156" s="6">
        <f t="shared" ca="1" si="70"/>
        <v>0</v>
      </c>
      <c r="L156" s="6">
        <f t="shared" ca="1" si="70"/>
        <v>0</v>
      </c>
      <c r="M156" s="6">
        <f t="shared" ca="1" si="70"/>
        <v>0</v>
      </c>
      <c r="N156" s="6">
        <f t="shared" ca="1" si="70"/>
        <v>0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outlineLevel="1" x14ac:dyDescent="0.25">
      <c r="A157" s="6" t="s">
        <v>37</v>
      </c>
      <c r="B157" s="6"/>
      <c r="C157" s="7"/>
      <c r="D157" s="19"/>
      <c r="E157" s="19"/>
      <c r="F157" s="19"/>
      <c r="G157" s="19"/>
      <c r="H157" s="6"/>
      <c r="I157" s="6">
        <f t="shared" ref="I157:N157" ca="1" si="71">+I150*I126*I6</f>
        <v>0</v>
      </c>
      <c r="J157" s="6">
        <f t="shared" ca="1" si="71"/>
        <v>0</v>
      </c>
      <c r="K157" s="6">
        <f t="shared" ca="1" si="71"/>
        <v>0</v>
      </c>
      <c r="L157" s="6">
        <f t="shared" ca="1" si="71"/>
        <v>0</v>
      </c>
      <c r="M157" s="6">
        <f t="shared" ca="1" si="71"/>
        <v>0</v>
      </c>
      <c r="N157" s="6">
        <f t="shared" ca="1" si="71"/>
        <v>0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outlineLevel="1" x14ac:dyDescent="0.25">
      <c r="A158" s="6" t="s">
        <v>216</v>
      </c>
      <c r="B158" s="6"/>
      <c r="C158" s="7"/>
      <c r="D158" s="19"/>
      <c r="E158" s="19"/>
      <c r="F158" s="19"/>
      <c r="G158" s="19"/>
      <c r="H158" s="6"/>
      <c r="I158" s="6">
        <f t="shared" ref="I158:N158" si="72">+I151*I6*I131</f>
        <v>672.04</v>
      </c>
      <c r="J158" s="6">
        <f t="shared" si="72"/>
        <v>1344.08</v>
      </c>
      <c r="K158" s="6">
        <f t="shared" si="72"/>
        <v>1344.08</v>
      </c>
      <c r="L158" s="6">
        <f t="shared" si="72"/>
        <v>1344.08</v>
      </c>
      <c r="M158" s="6">
        <f t="shared" si="72"/>
        <v>1344.08</v>
      </c>
      <c r="N158" s="6">
        <f t="shared" si="72"/>
        <v>1344.08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outlineLevel="1" x14ac:dyDescent="0.25">
      <c r="A159" s="6" t="s">
        <v>217</v>
      </c>
      <c r="B159" s="6"/>
      <c r="C159" s="7"/>
      <c r="D159" s="19"/>
      <c r="E159" s="19"/>
      <c r="F159" s="19"/>
      <c r="G159" s="19"/>
      <c r="H159" s="6"/>
      <c r="I159" s="6">
        <f t="shared" ref="I159:N159" si="73">+I152*I6*I136</f>
        <v>0</v>
      </c>
      <c r="J159" s="6">
        <f t="shared" si="73"/>
        <v>0</v>
      </c>
      <c r="K159" s="6">
        <f t="shared" si="73"/>
        <v>0</v>
      </c>
      <c r="L159" s="6">
        <f t="shared" si="73"/>
        <v>0</v>
      </c>
      <c r="M159" s="6">
        <f t="shared" si="73"/>
        <v>0</v>
      </c>
      <c r="N159" s="6">
        <f t="shared" si="73"/>
        <v>0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outlineLevel="1" x14ac:dyDescent="0.25">
      <c r="A160" s="35" t="s">
        <v>222</v>
      </c>
      <c r="B160" s="35"/>
      <c r="C160" s="49"/>
      <c r="D160" s="35"/>
      <c r="E160" s="35"/>
      <c r="F160" s="35"/>
      <c r="G160" s="35"/>
      <c r="H160" s="35"/>
      <c r="I160" s="35">
        <f t="shared" ref="I160:N160" ca="1" si="74">SUM(I155:I159)</f>
        <v>672.04</v>
      </c>
      <c r="J160" s="35">
        <f t="shared" ca="1" si="74"/>
        <v>1344.08</v>
      </c>
      <c r="K160" s="35">
        <f t="shared" ca="1" si="74"/>
        <v>1344.08</v>
      </c>
      <c r="L160" s="35">
        <f t="shared" ca="1" si="74"/>
        <v>1344.08</v>
      </c>
      <c r="M160" s="35">
        <f t="shared" ca="1" si="74"/>
        <v>1344.08</v>
      </c>
      <c r="N160" s="35">
        <f t="shared" ca="1" si="74"/>
        <v>1344.08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outlineLevel="1" x14ac:dyDescent="0.25">
      <c r="A161" s="6"/>
      <c r="B161" s="6"/>
      <c r="C161" s="7"/>
      <c r="D161" s="19"/>
      <c r="E161" s="19"/>
      <c r="F161" s="19"/>
      <c r="G161" s="19"/>
      <c r="H161" s="1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outlineLevel="1" x14ac:dyDescent="0.25">
      <c r="A162" s="6"/>
      <c r="B162" s="6"/>
      <c r="C162" s="7"/>
      <c r="D162" s="19"/>
      <c r="E162" s="19"/>
      <c r="F162" s="19"/>
      <c r="G162" s="19"/>
      <c r="H162" s="1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x14ac:dyDescent="0.25">
      <c r="A163" s="6"/>
      <c r="B163" s="6"/>
      <c r="C163" s="7"/>
      <c r="D163" s="19"/>
      <c r="E163" s="19"/>
      <c r="F163" s="19"/>
      <c r="G163" s="19"/>
      <c r="H163" s="1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1" x14ac:dyDescent="0.35">
      <c r="A164" s="9" t="s">
        <v>138</v>
      </c>
      <c r="B164" s="10"/>
      <c r="C164" s="11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outlineLevel="1" x14ac:dyDescent="0.25">
      <c r="A165" s="25"/>
      <c r="B165" s="6"/>
      <c r="C165" s="7"/>
      <c r="D165" s="19"/>
      <c r="E165" s="19"/>
      <c r="F165" s="19"/>
      <c r="G165" s="19"/>
      <c r="H165" s="1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outlineLevel="1" x14ac:dyDescent="0.25">
      <c r="A166" s="25" t="s">
        <v>0</v>
      </c>
      <c r="B166" s="19"/>
      <c r="C166" s="19"/>
      <c r="D166" s="1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outlineLevel="1" x14ac:dyDescent="0.25">
      <c r="A167" s="26" t="s">
        <v>223</v>
      </c>
      <c r="B167" s="28"/>
      <c r="C167" s="138">
        <f>'[2]DCF Assumptions'!$C$4</f>
        <v>0.25</v>
      </c>
      <c r="D167" s="1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outlineLevel="1" x14ac:dyDescent="0.25">
      <c r="A168" s="6" t="s">
        <v>224</v>
      </c>
      <c r="B168" s="6"/>
      <c r="C168" s="87">
        <f>'[2]DCF Assumptions'!$C$5</f>
        <v>0.12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outlineLevel="1" x14ac:dyDescent="0.25">
      <c r="A169" s="6" t="s">
        <v>225</v>
      </c>
      <c r="B169" s="6"/>
      <c r="C169" s="87">
        <f>'[2]DCF Assumptions'!$C$6</f>
        <v>0.04</v>
      </c>
      <c r="D169" s="6"/>
      <c r="E169" s="6"/>
      <c r="F169" s="6"/>
      <c r="G169" s="6"/>
      <c r="H169" s="6"/>
      <c r="I169" s="6"/>
      <c r="J169" s="126"/>
      <c r="K169" s="126"/>
      <c r="L169" s="126"/>
      <c r="M169" s="126"/>
      <c r="N169" s="1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outlineLevel="1" x14ac:dyDescent="0.25">
      <c r="A170" s="6" t="s">
        <v>226</v>
      </c>
      <c r="B170" s="6"/>
      <c r="C170" s="139">
        <f>'[2]DCF Assumptions'!$C$7</f>
        <v>8</v>
      </c>
      <c r="D170" s="6"/>
      <c r="E170" s="6"/>
      <c r="F170" s="6"/>
      <c r="G170" s="6"/>
      <c r="H170" s="6"/>
      <c r="I170" s="6"/>
      <c r="J170" s="126"/>
      <c r="K170" s="126"/>
      <c r="L170" s="126"/>
      <c r="M170" s="126"/>
      <c r="N170" s="1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outlineLevel="1" x14ac:dyDescent="0.25">
      <c r="A171" s="6" t="s">
        <v>227</v>
      </c>
      <c r="B171" s="6"/>
      <c r="C171" s="140">
        <f>+'M&amp;A Assumptions &amp; Analysis'!D28</f>
        <v>11.6325</v>
      </c>
      <c r="D171" s="6"/>
      <c r="E171" s="6"/>
      <c r="F171" s="6"/>
      <c r="G171" s="6"/>
      <c r="H171" s="6"/>
      <c r="I171" s="6"/>
      <c r="J171" s="126"/>
      <c r="K171" s="126"/>
      <c r="L171" s="126"/>
      <c r="M171" s="126"/>
      <c r="N171" s="1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outlineLevel="1" x14ac:dyDescent="0.25">
      <c r="A172" s="6" t="s">
        <v>148</v>
      </c>
      <c r="B172" s="6"/>
      <c r="C172" s="141">
        <f ca="1">+'M&amp;A Assumptions &amp; Analysis'!D25</f>
        <v>92757.360842467227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outlineLevel="1" x14ac:dyDescent="0.25">
      <c r="A173" s="6"/>
      <c r="B173" s="6"/>
      <c r="C173" s="14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outlineLevel="1" x14ac:dyDescent="0.25">
      <c r="A174" s="6"/>
      <c r="B174" s="6"/>
      <c r="C174" s="2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outlineLevel="1" x14ac:dyDescent="0.25">
      <c r="A175" s="25" t="s">
        <v>228</v>
      </c>
      <c r="B175" s="6"/>
      <c r="C175" s="56" t="s">
        <v>229</v>
      </c>
      <c r="D175" s="143">
        <f>I2</f>
        <v>2025</v>
      </c>
      <c r="E175" s="144">
        <f t="shared" ref="E175:I175" si="75">+D175+1</f>
        <v>2026</v>
      </c>
      <c r="F175" s="144">
        <f t="shared" si="75"/>
        <v>2027</v>
      </c>
      <c r="G175" s="144">
        <f t="shared" si="75"/>
        <v>2028</v>
      </c>
      <c r="H175" s="144">
        <f t="shared" si="75"/>
        <v>2029</v>
      </c>
      <c r="I175" s="144">
        <f t="shared" si="75"/>
        <v>2030</v>
      </c>
      <c r="J175" s="56" t="s">
        <v>230</v>
      </c>
      <c r="K175" s="6"/>
      <c r="L175" s="25" t="s">
        <v>231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outlineLevel="1" x14ac:dyDescent="0.25">
      <c r="A176" s="145" t="s">
        <v>232</v>
      </c>
      <c r="B176" s="145"/>
      <c r="C176" s="146">
        <f>+H4</f>
        <v>45838</v>
      </c>
      <c r="D176" s="147">
        <f t="shared" ref="D176:I176" si="76">+DATE(D175,12,31)</f>
        <v>46022</v>
      </c>
      <c r="E176" s="147">
        <f t="shared" si="76"/>
        <v>46387</v>
      </c>
      <c r="F176" s="147">
        <f t="shared" si="76"/>
        <v>46752</v>
      </c>
      <c r="G176" s="147">
        <f t="shared" si="76"/>
        <v>47118</v>
      </c>
      <c r="H176" s="147">
        <f t="shared" si="76"/>
        <v>47483</v>
      </c>
      <c r="I176" s="147">
        <f t="shared" si="76"/>
        <v>47848</v>
      </c>
      <c r="J176" s="147">
        <f>+I176</f>
        <v>47848</v>
      </c>
      <c r="K176" s="6"/>
      <c r="L176" s="26" t="s">
        <v>233</v>
      </c>
      <c r="M176" s="26"/>
      <c r="N176" s="148">
        <f ca="1">+C170*H183</f>
        <v>1115272.4655663199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outlineLevel="1" x14ac:dyDescent="0.25">
      <c r="A177" s="50"/>
      <c r="B177" s="50"/>
      <c r="C177" s="50"/>
      <c r="D177" s="149"/>
      <c r="E177" s="149"/>
      <c r="F177" s="149"/>
      <c r="G177" s="149"/>
      <c r="H177" s="149"/>
      <c r="I177" s="149"/>
      <c r="J177" s="149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outlineLevel="1" x14ac:dyDescent="0.25">
      <c r="A178" s="50"/>
      <c r="B178" s="50"/>
      <c r="C178" s="50"/>
      <c r="D178" s="149"/>
      <c r="E178" s="149"/>
      <c r="F178" s="149"/>
      <c r="G178" s="149"/>
      <c r="H178" s="149"/>
      <c r="I178" s="149"/>
      <c r="J178" s="7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outlineLevel="1" x14ac:dyDescent="0.25">
      <c r="A179" s="6" t="s">
        <v>234</v>
      </c>
      <c r="B179" s="6"/>
      <c r="C179" s="6"/>
      <c r="D179" s="6">
        <f t="shared" ref="D179:I179" ca="1" si="77">+I42+I40</f>
        <v>39263.90184946236</v>
      </c>
      <c r="E179" s="6">
        <f t="shared" ca="1" si="77"/>
        <v>92075.3606038531</v>
      </c>
      <c r="F179" s="6">
        <f t="shared" ca="1" si="77"/>
        <v>105148.18839641579</v>
      </c>
      <c r="G179" s="6">
        <f t="shared" ca="1" si="77"/>
        <v>116726.92318645738</v>
      </c>
      <c r="H179" s="6">
        <f t="shared" ca="1" si="77"/>
        <v>124417.31222458999</v>
      </c>
      <c r="I179" s="6">
        <f t="shared" ca="1" si="77"/>
        <v>133306.78399605784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outlineLevel="1" x14ac:dyDescent="0.25">
      <c r="A180" s="6" t="s">
        <v>235</v>
      </c>
      <c r="B180" s="6"/>
      <c r="C180" s="6"/>
      <c r="D180" s="124">
        <f t="shared" ref="D180:I180" ca="1" si="78">+D179*$C$167</f>
        <v>9815.9754623655899</v>
      </c>
      <c r="E180" s="124">
        <f t="shared" ca="1" si="78"/>
        <v>23018.840150963275</v>
      </c>
      <c r="F180" s="124">
        <f t="shared" ca="1" si="78"/>
        <v>26287.047099103947</v>
      </c>
      <c r="G180" s="124">
        <f t="shared" ca="1" si="78"/>
        <v>29181.730796614345</v>
      </c>
      <c r="H180" s="124">
        <f t="shared" ca="1" si="78"/>
        <v>31104.328056147497</v>
      </c>
      <c r="I180" s="124">
        <f t="shared" ca="1" si="78"/>
        <v>33326.695999014461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outlineLevel="1" x14ac:dyDescent="0.25">
      <c r="A181" s="26" t="s">
        <v>236</v>
      </c>
      <c r="B181" s="26"/>
      <c r="C181" s="26"/>
      <c r="D181" s="148">
        <f t="shared" ref="D181:I181" ca="1" si="79">+D179-D180</f>
        <v>29447.92638709677</v>
      </c>
      <c r="E181" s="148">
        <f t="shared" ca="1" si="79"/>
        <v>69056.520452889818</v>
      </c>
      <c r="F181" s="148">
        <f t="shared" ca="1" si="79"/>
        <v>78861.141297311842</v>
      </c>
      <c r="G181" s="148">
        <f t="shared" ca="1" si="79"/>
        <v>87545.19238984304</v>
      </c>
      <c r="H181" s="148">
        <f t="shared" ca="1" si="79"/>
        <v>93312.98416844249</v>
      </c>
      <c r="I181" s="148">
        <f t="shared" ca="1" si="79"/>
        <v>99980.087997043389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outlineLevel="1" x14ac:dyDescent="0.25">
      <c r="A182" s="6" t="s">
        <v>237</v>
      </c>
      <c r="B182" s="6"/>
      <c r="C182" s="6"/>
      <c r="D182" s="124">
        <f t="shared" ref="D182:I182" si="80">+I39</f>
        <v>4126.8945000000003</v>
      </c>
      <c r="E182" s="124">
        <f t="shared" si="80"/>
        <v>9503.4100999999991</v>
      </c>
      <c r="F182" s="124">
        <f t="shared" si="80"/>
        <v>11752.728080000001</v>
      </c>
      <c r="G182" s="124">
        <f t="shared" si="80"/>
        <v>13552.182464000001</v>
      </c>
      <c r="H182" s="124">
        <f t="shared" si="80"/>
        <v>14991.745971200002</v>
      </c>
      <c r="I182" s="124">
        <f t="shared" si="80"/>
        <v>16143.396776960002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outlineLevel="1" x14ac:dyDescent="0.25">
      <c r="A183" s="6" t="s">
        <v>238</v>
      </c>
      <c r="B183" s="6"/>
      <c r="C183" s="6"/>
      <c r="D183" s="124">
        <f t="shared" ref="D183:I183" ca="1" si="81">+D182+D179</f>
        <v>43390.796349462362</v>
      </c>
      <c r="E183" s="124">
        <f t="shared" ca="1" si="81"/>
        <v>101578.77070385309</v>
      </c>
      <c r="F183" s="124">
        <f t="shared" ca="1" si="81"/>
        <v>116900.91647641579</v>
      </c>
      <c r="G183" s="124">
        <f t="shared" ca="1" si="81"/>
        <v>130279.10565045738</v>
      </c>
      <c r="H183" s="124">
        <f t="shared" ca="1" si="81"/>
        <v>139409.05819578998</v>
      </c>
      <c r="I183" s="124">
        <f t="shared" ca="1" si="81"/>
        <v>149450.18077301784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outlineLevel="1" x14ac:dyDescent="0.25">
      <c r="A184" s="6" t="s">
        <v>239</v>
      </c>
      <c r="B184" s="6"/>
      <c r="C184" s="6"/>
      <c r="D184" s="6">
        <f t="shared" ref="D184:I184" si="82">+I110</f>
        <v>10375</v>
      </c>
      <c r="E184" s="6">
        <f t="shared" si="82"/>
        <v>20750</v>
      </c>
      <c r="F184" s="6">
        <f t="shared" si="82"/>
        <v>20750</v>
      </c>
      <c r="G184" s="6">
        <f t="shared" si="82"/>
        <v>20750</v>
      </c>
      <c r="H184" s="6">
        <f t="shared" si="82"/>
        <v>20750</v>
      </c>
      <c r="I184" s="6">
        <f t="shared" si="82"/>
        <v>20750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outlineLevel="1" x14ac:dyDescent="0.25">
      <c r="A185" s="6" t="s">
        <v>240</v>
      </c>
      <c r="B185" s="6"/>
      <c r="C185" s="6"/>
      <c r="D185" s="6">
        <f t="shared" ref="D185:I185" si="83">+I106</f>
        <v>87461.41403983788</v>
      </c>
      <c r="E185" s="6">
        <f t="shared" ca="1" si="83"/>
        <v>6392.4094082943011</v>
      </c>
      <c r="F185" s="6">
        <f t="shared" ca="1" si="83"/>
        <v>7431.7885818562972</v>
      </c>
      <c r="G185" s="6">
        <f t="shared" ca="1" si="83"/>
        <v>4041.5038673074378</v>
      </c>
      <c r="H185" s="6">
        <f t="shared" ca="1" si="83"/>
        <v>4053.2445179084025</v>
      </c>
      <c r="I185" s="6">
        <f t="shared" ca="1" si="83"/>
        <v>3183.6051916909273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outlineLevel="1" x14ac:dyDescent="0.25">
      <c r="A186" s="35" t="s">
        <v>241</v>
      </c>
      <c r="B186" s="35"/>
      <c r="C186" s="35"/>
      <c r="D186" s="35">
        <f t="shared" ref="D186:I186" ca="1" si="84">+D181+D182-D184-D185</f>
        <v>-64261.593152741108</v>
      </c>
      <c r="E186" s="35">
        <f t="shared" ca="1" si="84"/>
        <v>51417.521144595506</v>
      </c>
      <c r="F186" s="35">
        <f t="shared" ca="1" si="84"/>
        <v>62432.080795455549</v>
      </c>
      <c r="G186" s="35">
        <f t="shared" ca="1" si="84"/>
        <v>76305.870986535592</v>
      </c>
      <c r="H186" s="35">
        <f t="shared" ca="1" si="84"/>
        <v>83501.485621734086</v>
      </c>
      <c r="I186" s="35">
        <f t="shared" ca="1" si="84"/>
        <v>92189.879582312453</v>
      </c>
      <c r="J186" s="35">
        <f ca="1">+N176</f>
        <v>1115272.4655663199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outlineLevel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outlineLevel="1" x14ac:dyDescent="0.25">
      <c r="A188" s="25" t="s">
        <v>242</v>
      </c>
      <c r="B188" s="25"/>
      <c r="C188" s="114">
        <f ca="1">J188</f>
        <v>1115272.4655663199</v>
      </c>
      <c r="D188" s="25">
        <f t="shared" ref="D188:J188" ca="1" si="85">+D186</f>
        <v>-64261.593152741108</v>
      </c>
      <c r="E188" s="25">
        <f t="shared" ca="1" si="85"/>
        <v>51417.521144595506</v>
      </c>
      <c r="F188" s="25">
        <f t="shared" ca="1" si="85"/>
        <v>62432.080795455549</v>
      </c>
      <c r="G188" s="25">
        <f t="shared" ca="1" si="85"/>
        <v>76305.870986535592</v>
      </c>
      <c r="H188" s="25">
        <f t="shared" ca="1" si="85"/>
        <v>83501.485621734086</v>
      </c>
      <c r="I188" s="25">
        <f t="shared" ca="1" si="85"/>
        <v>92189.879582312453</v>
      </c>
      <c r="J188" s="25">
        <f t="shared" ca="1" si="85"/>
        <v>1115272.4655663199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outlineLevel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outlineLevel="1" x14ac:dyDescent="0.25">
      <c r="A190" s="25" t="s">
        <v>243</v>
      </c>
      <c r="B190" s="25"/>
      <c r="C190" s="25"/>
      <c r="D190" s="25"/>
      <c r="E190" s="25"/>
      <c r="F190" s="25"/>
      <c r="G190" s="25"/>
      <c r="H190" s="25"/>
      <c r="I190" s="25"/>
      <c r="J190" s="2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outlineLevel="1" x14ac:dyDescent="0.25">
      <c r="A191" s="6"/>
      <c r="B191" s="7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outlineLevel="1" x14ac:dyDescent="0.25">
      <c r="A192" s="25" t="s">
        <v>244</v>
      </c>
      <c r="B192" s="6"/>
      <c r="C192" s="6"/>
      <c r="D192" s="6"/>
      <c r="E192" s="25" t="s">
        <v>245</v>
      </c>
      <c r="F192" s="6"/>
      <c r="G192" s="6"/>
      <c r="H192" s="6"/>
      <c r="I192" s="6"/>
      <c r="J192" s="25" t="s">
        <v>246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outlineLevel="1" x14ac:dyDescent="0.25">
      <c r="A193" s="26" t="s">
        <v>63</v>
      </c>
      <c r="B193" s="26"/>
      <c r="C193" s="26">
        <f ca="1">+XNPV(C168,C188:J188,C176:J176)</f>
        <v>1893231.1558699403</v>
      </c>
      <c r="D193" s="6"/>
      <c r="E193" s="26" t="s">
        <v>247</v>
      </c>
      <c r="F193" s="26"/>
      <c r="G193" s="53">
        <f ca="1">C171*C172</f>
        <v>1079000</v>
      </c>
      <c r="H193" s="6"/>
      <c r="I193" s="6"/>
      <c r="J193" s="26" t="s">
        <v>248</v>
      </c>
      <c r="K193" s="26"/>
      <c r="L193" s="82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outlineLevel="1" x14ac:dyDescent="0.25">
      <c r="A194" s="6" t="s">
        <v>249</v>
      </c>
      <c r="B194" s="6"/>
      <c r="C194" s="6">
        <f ca="1">+H51</f>
        <v>178399.35898553894</v>
      </c>
      <c r="D194" s="6"/>
      <c r="E194" s="6" t="s">
        <v>250</v>
      </c>
      <c r="F194" s="6"/>
      <c r="G194" s="6">
        <f>'Acquirer Model'!G182+'Target Model'!G182</f>
        <v>46801.075268817207</v>
      </c>
      <c r="H194" s="6"/>
      <c r="I194" s="6"/>
      <c r="J194" s="6"/>
      <c r="K194" s="6"/>
      <c r="L194" s="6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outlineLevel="1" x14ac:dyDescent="0.25">
      <c r="A195" s="6" t="s">
        <v>251</v>
      </c>
      <c r="B195" s="6"/>
      <c r="C195" s="6">
        <f ca="1">+H61+H63</f>
        <v>24176.971894625509</v>
      </c>
      <c r="D195" s="6"/>
      <c r="E195" s="6" t="s">
        <v>252</v>
      </c>
      <c r="F195" s="6"/>
      <c r="G195" s="6">
        <f>'Acquirer Model'!G183+'Target Model'!G183</f>
        <v>225320.60898553894</v>
      </c>
      <c r="H195" s="6"/>
      <c r="I195" s="6"/>
      <c r="J195" s="6"/>
      <c r="K195" s="6"/>
      <c r="L195" s="7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outlineLevel="1" x14ac:dyDescent="0.25">
      <c r="A196" s="6" t="s">
        <v>253</v>
      </c>
      <c r="B196" s="6"/>
      <c r="C196" s="26">
        <f ca="1">+C193+C194-C195</f>
        <v>2047453.5429608538</v>
      </c>
      <c r="D196" s="6"/>
      <c r="E196" s="6" t="s">
        <v>63</v>
      </c>
      <c r="F196" s="6"/>
      <c r="G196" s="6">
        <f ca="1">G193+G194-G195</f>
        <v>900480.46628327819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outlineLevel="1" x14ac:dyDescent="0.25">
      <c r="A197" s="6"/>
      <c r="B197" s="6"/>
      <c r="C197" s="6"/>
      <c r="D197" s="6"/>
      <c r="E197" s="6"/>
      <c r="F197" s="6"/>
      <c r="G197" s="72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outlineLevel="1" x14ac:dyDescent="0.25">
      <c r="A198" s="25" t="s">
        <v>149</v>
      </c>
      <c r="B198" s="6"/>
      <c r="C198" s="150">
        <f ca="1">+C196/C172</f>
        <v>22.073219034747108</v>
      </c>
      <c r="D198" s="6"/>
      <c r="E198" s="25" t="s">
        <v>149</v>
      </c>
      <c r="F198" s="25"/>
      <c r="G198" s="151">
        <f>C171</f>
        <v>11.6325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outlineLevel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outlineLevel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1" x14ac:dyDescent="0.35">
      <c r="A202" s="9" t="s">
        <v>254</v>
      </c>
      <c r="B202" s="10"/>
      <c r="C202" s="1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outlineLevel="1" x14ac:dyDescent="0.25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outlineLevel="1" x14ac:dyDescent="0.25">
      <c r="A204" s="25" t="s">
        <v>173</v>
      </c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outlineLevel="1" x14ac:dyDescent="0.25">
      <c r="A205" s="6" t="s">
        <v>88</v>
      </c>
      <c r="B205" s="6"/>
      <c r="C205" s="7"/>
      <c r="D205" s="48"/>
      <c r="E205" s="48"/>
      <c r="F205" s="48"/>
      <c r="G205" s="48"/>
      <c r="H205" s="48"/>
      <c r="I205" s="152">
        <f>+I6*'Acquirer Model'!I63</f>
        <v>82924.600000000006</v>
      </c>
      <c r="J205" s="152">
        <f>+J6*'Acquirer Model'!J63</f>
        <v>182434.12000000002</v>
      </c>
      <c r="K205" s="152">
        <f>+K6*'Acquirer Model'!K63</f>
        <v>200677.53200000004</v>
      </c>
      <c r="L205" s="152">
        <f>+L6*'Acquirer Model'!L63</f>
        <v>218738.50988000006</v>
      </c>
      <c r="M205" s="152">
        <f>+M6*'Acquirer Model'!M63</f>
        <v>236237.59067040007</v>
      </c>
      <c r="N205" s="152">
        <f>+N6*'Acquirer Model'!N63</f>
        <v>252774.22201732808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outlineLevel="1" x14ac:dyDescent="0.25">
      <c r="A206" s="6" t="s">
        <v>89</v>
      </c>
      <c r="B206" s="6"/>
      <c r="C206" s="7"/>
      <c r="D206" s="48"/>
      <c r="E206" s="48"/>
      <c r="F206" s="48"/>
      <c r="G206" s="48"/>
      <c r="H206" s="48"/>
      <c r="I206" s="48">
        <f>+I6*'Target Model'!I63</f>
        <v>48551.691308243724</v>
      </c>
      <c r="J206" s="48">
        <f>+J6*'Target Model'!J63</f>
        <v>111668.89000896056</v>
      </c>
      <c r="K206" s="48">
        <f>+K6*'Target Model'!K63</f>
        <v>125069.15681003584</v>
      </c>
      <c r="L206" s="48">
        <f>+L6*'Target Model'!L63</f>
        <v>137576.07249103943</v>
      </c>
      <c r="M206" s="48">
        <f>+M6*'Target Model'!M63</f>
        <v>148582.15829032261</v>
      </c>
      <c r="N206" s="48">
        <f>+N6*'Target Model'!N63</f>
        <v>157497.08778774197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outlineLevel="1" x14ac:dyDescent="0.25">
      <c r="A207" s="6" t="s">
        <v>10</v>
      </c>
      <c r="B207" s="6"/>
      <c r="C207" s="7"/>
      <c r="D207" s="6"/>
      <c r="E207" s="6"/>
      <c r="F207" s="6"/>
      <c r="G207" s="6"/>
      <c r="H207" s="6"/>
      <c r="I207" s="6"/>
      <c r="J207" s="48">
        <f ca="1">+'M&amp;A Assumptions &amp; Analysis'!H9*'M&amp;A Assumptions &amp; Analysis'!H14</f>
        <v>1650</v>
      </c>
      <c r="K207" s="48">
        <f ca="1">+'M&amp;A Assumptions &amp; Analysis'!H9*'M&amp;A Assumptions &amp; Analysis'!H15</f>
        <v>3575</v>
      </c>
      <c r="L207" s="48">
        <f ca="1">+'M&amp;A Assumptions &amp; Analysis'!H9*'M&amp;A Assumptions &amp; Analysis'!H16</f>
        <v>5500</v>
      </c>
      <c r="M207" s="48">
        <f t="shared" ref="M207:N207" ca="1" si="86">+L207</f>
        <v>5500</v>
      </c>
      <c r="N207" s="48">
        <f t="shared" ca="1" si="86"/>
        <v>5500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outlineLevel="1" x14ac:dyDescent="0.25">
      <c r="A208" s="35" t="s">
        <v>255</v>
      </c>
      <c r="B208" s="35"/>
      <c r="C208" s="49"/>
      <c r="D208" s="35"/>
      <c r="E208" s="35"/>
      <c r="F208" s="35"/>
      <c r="G208" s="35"/>
      <c r="H208" s="35"/>
      <c r="I208" s="35">
        <f t="shared" ref="I208:N208" si="87">SUM(I205:I207)</f>
        <v>131476.29130824373</v>
      </c>
      <c r="J208" s="35">
        <f t="shared" ca="1" si="87"/>
        <v>295753.01000896061</v>
      </c>
      <c r="K208" s="35">
        <f t="shared" ca="1" si="87"/>
        <v>329321.68881003588</v>
      </c>
      <c r="L208" s="35">
        <f t="shared" ca="1" si="87"/>
        <v>361814.58237103949</v>
      </c>
      <c r="M208" s="35">
        <f t="shared" ca="1" si="87"/>
        <v>390319.7489607227</v>
      </c>
      <c r="N208" s="35">
        <f t="shared" ca="1" si="87"/>
        <v>415771.30980507005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outlineLevel="1" x14ac:dyDescent="0.25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outlineLevel="1" x14ac:dyDescent="0.25">
      <c r="A210" s="25" t="s">
        <v>256</v>
      </c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outlineLevel="1" x14ac:dyDescent="0.25">
      <c r="A211" s="6" t="s">
        <v>88</v>
      </c>
      <c r="B211" s="6"/>
      <c r="C211" s="7"/>
      <c r="D211" s="48"/>
      <c r="E211" s="48"/>
      <c r="F211" s="48"/>
      <c r="G211" s="48"/>
      <c r="H211" s="48"/>
      <c r="I211" s="48">
        <f>+I6*'Acquirer Model'!I64</f>
        <v>34828.332000000002</v>
      </c>
      <c r="J211" s="48">
        <f>+J6*'Acquirer Model'!J64</f>
        <v>78446.671600000016</v>
      </c>
      <c r="K211" s="48">
        <f>+K6*'Acquirer Model'!K64</f>
        <v>88298.114080000014</v>
      </c>
      <c r="L211" s="48">
        <f>+L6*'Acquirer Model'!L64</f>
        <v>98432.329446000032</v>
      </c>
      <c r="M211" s="48">
        <f>+M6*'Acquirer Model'!M64</f>
        <v>108669.29170838403</v>
      </c>
      <c r="N211" s="48">
        <f>+N6*'Acquirer Model'!N64</f>
        <v>116276.14212797092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outlineLevel="1" x14ac:dyDescent="0.25">
      <c r="A212" s="6" t="s">
        <v>89</v>
      </c>
      <c r="B212" s="6"/>
      <c r="C212" s="7"/>
      <c r="D212" s="48"/>
      <c r="E212" s="48"/>
      <c r="F212" s="48"/>
      <c r="G212" s="48"/>
      <c r="H212" s="48"/>
      <c r="I212" s="48">
        <f>+I6*'Target Model'!I64</f>
        <v>20391.710349462363</v>
      </c>
      <c r="J212" s="48">
        <f>+J6*'Target Model'!J64</f>
        <v>45784.244903673825</v>
      </c>
      <c r="K212" s="48">
        <f>+K6*'Target Model'!K64</f>
        <v>50027.662724014343</v>
      </c>
      <c r="L212" s="48">
        <f>+L6*'Target Model'!L64</f>
        <v>55030.42899641578</v>
      </c>
      <c r="M212" s="48">
        <f>+M6*'Target Model'!M64</f>
        <v>59432.863316129049</v>
      </c>
      <c r="N212" s="48">
        <f>+N6*'Target Model'!N64</f>
        <v>62998.835115096794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outlineLevel="1" x14ac:dyDescent="0.25">
      <c r="A213" s="6" t="s">
        <v>10</v>
      </c>
      <c r="B213" s="6"/>
      <c r="C213" s="7"/>
      <c r="D213" s="6"/>
      <c r="E213" s="6"/>
      <c r="F213" s="6"/>
      <c r="G213" s="6"/>
      <c r="H213" s="6"/>
      <c r="I213" s="6"/>
      <c r="J213" s="48">
        <f ca="1">-'M&amp;A Assumptions &amp; Analysis'!H10*'M&amp;A Assumptions &amp; Analysis'!H14</f>
        <v>-262.5</v>
      </c>
      <c r="K213" s="48">
        <f ca="1">-'M&amp;A Assumptions &amp; Analysis'!H10*'M&amp;A Assumptions &amp; Analysis'!H15</f>
        <v>-568.75</v>
      </c>
      <c r="L213" s="48">
        <f ca="1">-'M&amp;A Assumptions &amp; Analysis'!H10*'M&amp;A Assumptions &amp; Analysis'!H16</f>
        <v>-875</v>
      </c>
      <c r="M213" s="48">
        <f t="shared" ref="M213:N213" ca="1" si="88">+L213</f>
        <v>-875</v>
      </c>
      <c r="N213" s="48">
        <f t="shared" ca="1" si="88"/>
        <v>-875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outlineLevel="1" x14ac:dyDescent="0.25">
      <c r="A214" s="35" t="s">
        <v>255</v>
      </c>
      <c r="B214" s="35"/>
      <c r="C214" s="49"/>
      <c r="D214" s="35"/>
      <c r="E214" s="35"/>
      <c r="F214" s="35"/>
      <c r="G214" s="35"/>
      <c r="H214" s="35"/>
      <c r="I214" s="35">
        <f t="shared" ref="I214:N214" si="89">SUM(I211:I213)</f>
        <v>55220.042349462368</v>
      </c>
      <c r="J214" s="35">
        <f t="shared" ca="1" si="89"/>
        <v>123968.41650367384</v>
      </c>
      <c r="K214" s="35">
        <f t="shared" ca="1" si="89"/>
        <v>137757.02680401434</v>
      </c>
      <c r="L214" s="35">
        <f t="shared" ca="1" si="89"/>
        <v>152587.7584424158</v>
      </c>
      <c r="M214" s="35">
        <f t="shared" ca="1" si="89"/>
        <v>167227.15502451308</v>
      </c>
      <c r="N214" s="35">
        <f t="shared" ca="1" si="89"/>
        <v>178399.9772430677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outlineLevel="1" x14ac:dyDescent="0.25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outlineLevel="1" x14ac:dyDescent="0.25">
      <c r="A216" s="25" t="s">
        <v>177</v>
      </c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outlineLevel="1" x14ac:dyDescent="0.25">
      <c r="A217" s="6" t="s">
        <v>88</v>
      </c>
      <c r="B217" s="6"/>
      <c r="C217" s="7"/>
      <c r="D217" s="48"/>
      <c r="E217" s="48"/>
      <c r="F217" s="48"/>
      <c r="G217" s="48"/>
      <c r="H217" s="48"/>
      <c r="I217" s="48">
        <f>+I6*'Acquirer Model'!I67</f>
        <v>14097.182000000003</v>
      </c>
      <c r="J217" s="48">
        <f>+J6*'Acquirer Model'!J67</f>
        <v>31013.800400000007</v>
      </c>
      <c r="K217" s="48">
        <f>+K6*'Acquirer Model'!K67</f>
        <v>34115.180440000011</v>
      </c>
      <c r="L217" s="48">
        <f>+L6*'Acquirer Model'!L67</f>
        <v>37185.546679600011</v>
      </c>
      <c r="M217" s="48">
        <f>+M6*'Acquirer Model'!M67</f>
        <v>40160.390413968016</v>
      </c>
      <c r="N217" s="48">
        <f>+N6*'Acquirer Model'!N67</f>
        <v>42971.617742945775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outlineLevel="1" x14ac:dyDescent="0.25">
      <c r="A218" s="6" t="s">
        <v>89</v>
      </c>
      <c r="B218" s="6"/>
      <c r="C218" s="7"/>
      <c r="D218" s="48"/>
      <c r="E218" s="48"/>
      <c r="F218" s="48"/>
      <c r="G218" s="48"/>
      <c r="H218" s="48"/>
      <c r="I218" s="48">
        <f>+I6*'Target Model'!I67</f>
        <v>7768.2706093189963</v>
      </c>
      <c r="J218" s="48">
        <f>+J6*'Target Model'!J67</f>
        <v>17867.022401433689</v>
      </c>
      <c r="K218" s="48">
        <f>+K6*'Target Model'!K67</f>
        <v>20011.065089605734</v>
      </c>
      <c r="L218" s="48">
        <f>+L6*'Target Model'!L67</f>
        <v>22012.17159856631</v>
      </c>
      <c r="M218" s="48">
        <f>+M6*'Target Model'!M67</f>
        <v>23773.145326451617</v>
      </c>
      <c r="N218" s="48">
        <f>+N6*'Target Model'!N67</f>
        <v>25199.534046038716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outlineLevel="1" x14ac:dyDescent="0.25">
      <c r="A219" s="6" t="s">
        <v>10</v>
      </c>
      <c r="B219" s="6"/>
      <c r="C219" s="7"/>
      <c r="D219" s="6"/>
      <c r="E219" s="6"/>
      <c r="F219" s="6"/>
      <c r="G219" s="6"/>
      <c r="H219" s="6"/>
      <c r="I219" s="6"/>
      <c r="J219" s="48">
        <f ca="1">-'M&amp;A Assumptions &amp; Analysis'!H11*'M&amp;A Assumptions &amp; Analysis'!H14</f>
        <v>-375</v>
      </c>
      <c r="K219" s="48">
        <f ca="1">-'M&amp;A Assumptions &amp; Analysis'!H11*'M&amp;A Assumptions &amp; Analysis'!H15</f>
        <v>-812.5</v>
      </c>
      <c r="L219" s="48">
        <f ca="1">-'M&amp;A Assumptions &amp; Analysis'!H11*'M&amp;A Assumptions &amp; Analysis'!H16</f>
        <v>-1250</v>
      </c>
      <c r="M219" s="48">
        <f t="shared" ref="M219:N219" ca="1" si="90">+L219</f>
        <v>-1250</v>
      </c>
      <c r="N219" s="48">
        <f t="shared" ca="1" si="90"/>
        <v>-1250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outlineLevel="1" x14ac:dyDescent="0.25">
      <c r="A220" s="35" t="s">
        <v>255</v>
      </c>
      <c r="B220" s="35"/>
      <c r="C220" s="49"/>
      <c r="D220" s="35"/>
      <c r="E220" s="35"/>
      <c r="F220" s="35"/>
      <c r="G220" s="35"/>
      <c r="H220" s="35"/>
      <c r="I220" s="35">
        <f t="shared" ref="I220:N220" si="91">SUM(I217:I219)</f>
        <v>21865.452609319</v>
      </c>
      <c r="J220" s="35">
        <f t="shared" ca="1" si="91"/>
        <v>48505.822801433693</v>
      </c>
      <c r="K220" s="35">
        <f t="shared" ca="1" si="91"/>
        <v>53313.745529605745</v>
      </c>
      <c r="L220" s="35">
        <f t="shared" ca="1" si="91"/>
        <v>57947.718278166321</v>
      </c>
      <c r="M220" s="35">
        <f t="shared" ca="1" si="91"/>
        <v>62683.535740419633</v>
      </c>
      <c r="N220" s="35">
        <f t="shared" ca="1" si="91"/>
        <v>66921.151788984484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outlineLevel="1" x14ac:dyDescent="0.25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outlineLevel="1" x14ac:dyDescent="0.25">
      <c r="A222" s="25" t="s">
        <v>178</v>
      </c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outlineLevel="1" x14ac:dyDescent="0.25">
      <c r="A223" s="6" t="s">
        <v>88</v>
      </c>
      <c r="B223" s="6"/>
      <c r="C223" s="7"/>
      <c r="D223" s="48"/>
      <c r="E223" s="48"/>
      <c r="F223" s="48"/>
      <c r="G223" s="48"/>
      <c r="H223" s="48"/>
      <c r="I223" s="48">
        <f>+I6*'Acquirer Model'!I68</f>
        <v>7500</v>
      </c>
      <c r="J223" s="48">
        <f>+J6*'Acquirer Model'!J68</f>
        <v>15000</v>
      </c>
      <c r="K223" s="48">
        <f>+K6*'Acquirer Model'!K68</f>
        <v>15000</v>
      </c>
      <c r="L223" s="48">
        <f>+L6*'Acquirer Model'!L68</f>
        <v>15000</v>
      </c>
      <c r="M223" s="48">
        <f>+M6*'Acquirer Model'!M68</f>
        <v>15000</v>
      </c>
      <c r="N223" s="48">
        <f>+N6*'Acquirer Model'!N68</f>
        <v>15000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outlineLevel="1" x14ac:dyDescent="0.25">
      <c r="A224" s="6" t="s">
        <v>89</v>
      </c>
      <c r="B224" s="6"/>
      <c r="C224" s="7"/>
      <c r="D224" s="48"/>
      <c r="E224" s="48"/>
      <c r="F224" s="48"/>
      <c r="G224" s="48"/>
      <c r="H224" s="48"/>
      <c r="I224" s="48">
        <f>+I6*'Target Model'!I68</f>
        <v>3500</v>
      </c>
      <c r="J224" s="48">
        <f>+J6*'Target Model'!J68</f>
        <v>7000</v>
      </c>
      <c r="K224" s="48">
        <f>+K6*'Target Model'!K68</f>
        <v>7000</v>
      </c>
      <c r="L224" s="48">
        <f>+L6*'Target Model'!L68</f>
        <v>7000</v>
      </c>
      <c r="M224" s="48">
        <f>+M6*'Target Model'!M68</f>
        <v>7000</v>
      </c>
      <c r="N224" s="48">
        <f>+N6*'Target Model'!N68</f>
        <v>7000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outlineLevel="1" x14ac:dyDescent="0.25">
      <c r="A225" s="6" t="s">
        <v>10</v>
      </c>
      <c r="B225" s="6"/>
      <c r="C225" s="7"/>
      <c r="D225" s="6"/>
      <c r="E225" s="6"/>
      <c r="F225" s="6"/>
      <c r="G225" s="6"/>
      <c r="H225" s="6"/>
      <c r="I225" s="6"/>
      <c r="J225" s="48">
        <f ca="1">-'M&amp;A Assumptions &amp; Analysis'!H12*'M&amp;A Assumptions &amp; Analysis'!H14</f>
        <v>-300</v>
      </c>
      <c r="K225" s="48">
        <f ca="1">-'M&amp;A Assumptions &amp; Analysis'!H12*'M&amp;A Assumptions &amp; Analysis'!H15</f>
        <v>-650</v>
      </c>
      <c r="L225" s="48">
        <f ca="1">-'M&amp;A Assumptions &amp; Analysis'!H12*'M&amp;A Assumptions &amp; Analysis'!H16</f>
        <v>-1000</v>
      </c>
      <c r="M225" s="48">
        <f t="shared" ref="M225:N225" ca="1" si="92">+L225</f>
        <v>-1000</v>
      </c>
      <c r="N225" s="48">
        <f t="shared" ca="1" si="92"/>
        <v>-1000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outlineLevel="1" x14ac:dyDescent="0.25">
      <c r="A226" s="35" t="s">
        <v>255</v>
      </c>
      <c r="B226" s="35"/>
      <c r="C226" s="49"/>
      <c r="D226" s="35"/>
      <c r="E226" s="35"/>
      <c r="F226" s="35"/>
      <c r="G226" s="35"/>
      <c r="H226" s="35"/>
      <c r="I226" s="35">
        <f t="shared" ref="I226:N226" si="93">SUM(I223:I225)</f>
        <v>11000</v>
      </c>
      <c r="J226" s="35">
        <f t="shared" ca="1" si="93"/>
        <v>21700</v>
      </c>
      <c r="K226" s="35">
        <f t="shared" ca="1" si="93"/>
        <v>21350</v>
      </c>
      <c r="L226" s="35">
        <f t="shared" ca="1" si="93"/>
        <v>21000</v>
      </c>
      <c r="M226" s="35">
        <f t="shared" ca="1" si="93"/>
        <v>21000</v>
      </c>
      <c r="N226" s="35">
        <f t="shared" ca="1" si="93"/>
        <v>21000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outlineLevel="1" x14ac:dyDescent="0.25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x14ac:dyDescent="0.25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x14ac:dyDescent="0.25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x14ac:dyDescent="0.25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x14ac:dyDescent="0.25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x14ac:dyDescent="0.25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x14ac:dyDescent="0.25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x14ac:dyDescent="0.25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x14ac:dyDescent="0.25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x14ac:dyDescent="0.25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x14ac:dyDescent="0.25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x14ac:dyDescent="0.25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x14ac:dyDescent="0.25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x14ac:dyDescent="0.25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x14ac:dyDescent="0.25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x14ac:dyDescent="0.25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x14ac:dyDescent="0.25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x14ac:dyDescent="0.25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x14ac:dyDescent="0.25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x14ac:dyDescent="0.25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x14ac:dyDescent="0.25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x14ac:dyDescent="0.25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x14ac:dyDescent="0.25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x14ac:dyDescent="0.25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x14ac:dyDescent="0.25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x14ac:dyDescent="0.25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x14ac:dyDescent="0.25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x14ac:dyDescent="0.25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x14ac:dyDescent="0.25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x14ac:dyDescent="0.25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x14ac:dyDescent="0.25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x14ac:dyDescent="0.25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x14ac:dyDescent="0.25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x14ac:dyDescent="0.25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x14ac:dyDescent="0.25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x14ac:dyDescent="0.25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x14ac:dyDescent="0.25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x14ac:dyDescent="0.25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x14ac:dyDescent="0.25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x14ac:dyDescent="0.25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x14ac:dyDescent="0.25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x14ac:dyDescent="0.25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x14ac:dyDescent="0.25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x14ac:dyDescent="0.25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x14ac:dyDescent="0.25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x14ac:dyDescent="0.25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x14ac:dyDescent="0.25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x14ac:dyDescent="0.25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x14ac:dyDescent="0.25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x14ac:dyDescent="0.25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x14ac:dyDescent="0.25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x14ac:dyDescent="0.25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x14ac:dyDescent="0.25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x14ac:dyDescent="0.25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x14ac:dyDescent="0.25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x14ac:dyDescent="0.25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x14ac:dyDescent="0.25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x14ac:dyDescent="0.25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x14ac:dyDescent="0.25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x14ac:dyDescent="0.25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x14ac:dyDescent="0.25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x14ac:dyDescent="0.25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x14ac:dyDescent="0.25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x14ac:dyDescent="0.25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x14ac:dyDescent="0.25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x14ac:dyDescent="0.25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x14ac:dyDescent="0.25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x14ac:dyDescent="0.25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x14ac:dyDescent="0.25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x14ac:dyDescent="0.25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x14ac:dyDescent="0.25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x14ac:dyDescent="0.25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x14ac:dyDescent="0.25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x14ac:dyDescent="0.25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x14ac:dyDescent="0.25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x14ac:dyDescent="0.25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x14ac:dyDescent="0.25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x14ac:dyDescent="0.25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x14ac:dyDescent="0.25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x14ac:dyDescent="0.25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x14ac:dyDescent="0.25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x14ac:dyDescent="0.25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x14ac:dyDescent="0.25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x14ac:dyDescent="0.25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x14ac:dyDescent="0.25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x14ac:dyDescent="0.25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x14ac:dyDescent="0.25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x14ac:dyDescent="0.25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x14ac:dyDescent="0.25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x14ac:dyDescent="0.25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x14ac:dyDescent="0.25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x14ac:dyDescent="0.25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x14ac:dyDescent="0.25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x14ac:dyDescent="0.25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x14ac:dyDescent="0.25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x14ac:dyDescent="0.25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x14ac:dyDescent="0.25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x14ac:dyDescent="0.25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x14ac:dyDescent="0.25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x14ac:dyDescent="0.25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x14ac:dyDescent="0.25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x14ac:dyDescent="0.25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x14ac:dyDescent="0.25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x14ac:dyDescent="0.25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x14ac:dyDescent="0.25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x14ac:dyDescent="0.25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x14ac:dyDescent="0.25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x14ac:dyDescent="0.25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x14ac:dyDescent="0.25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x14ac:dyDescent="0.25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x14ac:dyDescent="0.25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x14ac:dyDescent="0.25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x14ac:dyDescent="0.25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x14ac:dyDescent="0.25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x14ac:dyDescent="0.25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x14ac:dyDescent="0.25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x14ac:dyDescent="0.25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x14ac:dyDescent="0.25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x14ac:dyDescent="0.25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x14ac:dyDescent="0.25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x14ac:dyDescent="0.25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x14ac:dyDescent="0.25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x14ac:dyDescent="0.25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x14ac:dyDescent="0.25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x14ac:dyDescent="0.25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x14ac:dyDescent="0.25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x14ac:dyDescent="0.25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x14ac:dyDescent="0.25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x14ac:dyDescent="0.25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x14ac:dyDescent="0.25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x14ac:dyDescent="0.25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x14ac:dyDescent="0.25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x14ac:dyDescent="0.25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x14ac:dyDescent="0.25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x14ac:dyDescent="0.25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x14ac:dyDescent="0.25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x14ac:dyDescent="0.25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x14ac:dyDescent="0.25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x14ac:dyDescent="0.25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x14ac:dyDescent="0.25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x14ac:dyDescent="0.25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x14ac:dyDescent="0.25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x14ac:dyDescent="0.25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x14ac:dyDescent="0.25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x14ac:dyDescent="0.25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x14ac:dyDescent="0.25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x14ac:dyDescent="0.25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x14ac:dyDescent="0.25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x14ac:dyDescent="0.25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x14ac:dyDescent="0.25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x14ac:dyDescent="0.25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x14ac:dyDescent="0.25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x14ac:dyDescent="0.25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x14ac:dyDescent="0.25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x14ac:dyDescent="0.25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x14ac:dyDescent="0.25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x14ac:dyDescent="0.25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x14ac:dyDescent="0.25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x14ac:dyDescent="0.25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x14ac:dyDescent="0.25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x14ac:dyDescent="0.25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x14ac:dyDescent="0.25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x14ac:dyDescent="0.25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x14ac:dyDescent="0.25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x14ac:dyDescent="0.25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x14ac:dyDescent="0.25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x14ac:dyDescent="0.25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x14ac:dyDescent="0.25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x14ac:dyDescent="0.25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x14ac:dyDescent="0.25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x14ac:dyDescent="0.25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x14ac:dyDescent="0.25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x14ac:dyDescent="0.25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x14ac:dyDescent="0.25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x14ac:dyDescent="0.25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x14ac:dyDescent="0.25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x14ac:dyDescent="0.25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x14ac:dyDescent="0.25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x14ac:dyDescent="0.25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x14ac:dyDescent="0.25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x14ac:dyDescent="0.25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x14ac:dyDescent="0.25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x14ac:dyDescent="0.25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x14ac:dyDescent="0.25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x14ac:dyDescent="0.25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x14ac:dyDescent="0.25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x14ac:dyDescent="0.25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x14ac:dyDescent="0.25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x14ac:dyDescent="0.25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x14ac:dyDescent="0.25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x14ac:dyDescent="0.25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x14ac:dyDescent="0.25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x14ac:dyDescent="0.25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x14ac:dyDescent="0.25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x14ac:dyDescent="0.25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x14ac:dyDescent="0.25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x14ac:dyDescent="0.25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x14ac:dyDescent="0.25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x14ac:dyDescent="0.25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x14ac:dyDescent="0.25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x14ac:dyDescent="0.25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x14ac:dyDescent="0.25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x14ac:dyDescent="0.25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x14ac:dyDescent="0.25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x14ac:dyDescent="0.25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x14ac:dyDescent="0.25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x14ac:dyDescent="0.25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x14ac:dyDescent="0.25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x14ac:dyDescent="0.25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x14ac:dyDescent="0.25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x14ac:dyDescent="0.25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x14ac:dyDescent="0.25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x14ac:dyDescent="0.25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x14ac:dyDescent="0.25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x14ac:dyDescent="0.25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x14ac:dyDescent="0.25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x14ac:dyDescent="0.25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x14ac:dyDescent="0.25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x14ac:dyDescent="0.25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x14ac:dyDescent="0.25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x14ac:dyDescent="0.25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x14ac:dyDescent="0.25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x14ac:dyDescent="0.25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x14ac:dyDescent="0.25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x14ac:dyDescent="0.25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x14ac:dyDescent="0.25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x14ac:dyDescent="0.25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x14ac:dyDescent="0.25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x14ac:dyDescent="0.25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x14ac:dyDescent="0.25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x14ac:dyDescent="0.25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x14ac:dyDescent="0.25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x14ac:dyDescent="0.25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x14ac:dyDescent="0.25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x14ac:dyDescent="0.25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x14ac:dyDescent="0.25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x14ac:dyDescent="0.25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x14ac:dyDescent="0.25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x14ac:dyDescent="0.25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x14ac:dyDescent="0.25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x14ac:dyDescent="0.25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x14ac:dyDescent="0.25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x14ac:dyDescent="0.25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x14ac:dyDescent="0.25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x14ac:dyDescent="0.25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x14ac:dyDescent="0.25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x14ac:dyDescent="0.25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x14ac:dyDescent="0.25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x14ac:dyDescent="0.25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x14ac:dyDescent="0.25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x14ac:dyDescent="0.25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x14ac:dyDescent="0.25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x14ac:dyDescent="0.25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x14ac:dyDescent="0.25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x14ac:dyDescent="0.25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x14ac:dyDescent="0.25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x14ac:dyDescent="0.25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x14ac:dyDescent="0.25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x14ac:dyDescent="0.25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x14ac:dyDescent="0.25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x14ac:dyDescent="0.25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x14ac:dyDescent="0.25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x14ac:dyDescent="0.25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x14ac:dyDescent="0.25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x14ac:dyDescent="0.25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x14ac:dyDescent="0.25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x14ac:dyDescent="0.25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x14ac:dyDescent="0.25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x14ac:dyDescent="0.25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x14ac:dyDescent="0.25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x14ac:dyDescent="0.25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x14ac:dyDescent="0.25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x14ac:dyDescent="0.25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x14ac:dyDescent="0.25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x14ac:dyDescent="0.25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x14ac:dyDescent="0.25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x14ac:dyDescent="0.25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x14ac:dyDescent="0.25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x14ac:dyDescent="0.25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x14ac:dyDescent="0.25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x14ac:dyDescent="0.25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x14ac:dyDescent="0.25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x14ac:dyDescent="0.25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x14ac:dyDescent="0.25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x14ac:dyDescent="0.25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x14ac:dyDescent="0.25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x14ac:dyDescent="0.25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x14ac:dyDescent="0.25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x14ac:dyDescent="0.25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x14ac:dyDescent="0.25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x14ac:dyDescent="0.25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x14ac:dyDescent="0.25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x14ac:dyDescent="0.25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x14ac:dyDescent="0.25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x14ac:dyDescent="0.25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x14ac:dyDescent="0.25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x14ac:dyDescent="0.25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x14ac:dyDescent="0.25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x14ac:dyDescent="0.25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x14ac:dyDescent="0.25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x14ac:dyDescent="0.25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x14ac:dyDescent="0.25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x14ac:dyDescent="0.25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x14ac:dyDescent="0.25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x14ac:dyDescent="0.25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x14ac:dyDescent="0.25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x14ac:dyDescent="0.25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x14ac:dyDescent="0.25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x14ac:dyDescent="0.25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x14ac:dyDescent="0.25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x14ac:dyDescent="0.25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x14ac:dyDescent="0.25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x14ac:dyDescent="0.25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x14ac:dyDescent="0.25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x14ac:dyDescent="0.25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x14ac:dyDescent="0.25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x14ac:dyDescent="0.25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x14ac:dyDescent="0.25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x14ac:dyDescent="0.25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x14ac:dyDescent="0.25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x14ac:dyDescent="0.25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x14ac:dyDescent="0.25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x14ac:dyDescent="0.25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x14ac:dyDescent="0.25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x14ac:dyDescent="0.25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x14ac:dyDescent="0.25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x14ac:dyDescent="0.25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x14ac:dyDescent="0.25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x14ac:dyDescent="0.25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x14ac:dyDescent="0.25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x14ac:dyDescent="0.25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x14ac:dyDescent="0.25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x14ac:dyDescent="0.25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x14ac:dyDescent="0.25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x14ac:dyDescent="0.25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x14ac:dyDescent="0.25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x14ac:dyDescent="0.25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x14ac:dyDescent="0.25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x14ac:dyDescent="0.25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x14ac:dyDescent="0.25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x14ac:dyDescent="0.25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x14ac:dyDescent="0.25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x14ac:dyDescent="0.25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x14ac:dyDescent="0.25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x14ac:dyDescent="0.25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x14ac:dyDescent="0.25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x14ac:dyDescent="0.25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x14ac:dyDescent="0.25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x14ac:dyDescent="0.25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x14ac:dyDescent="0.25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x14ac:dyDescent="0.25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x14ac:dyDescent="0.25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x14ac:dyDescent="0.25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x14ac:dyDescent="0.25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x14ac:dyDescent="0.25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x14ac:dyDescent="0.25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x14ac:dyDescent="0.25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x14ac:dyDescent="0.25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x14ac:dyDescent="0.25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x14ac:dyDescent="0.25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x14ac:dyDescent="0.25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x14ac:dyDescent="0.25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x14ac:dyDescent="0.25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x14ac:dyDescent="0.25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x14ac:dyDescent="0.25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x14ac:dyDescent="0.25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x14ac:dyDescent="0.25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x14ac:dyDescent="0.25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x14ac:dyDescent="0.25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x14ac:dyDescent="0.25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x14ac:dyDescent="0.25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x14ac:dyDescent="0.25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x14ac:dyDescent="0.25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x14ac:dyDescent="0.25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x14ac:dyDescent="0.25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x14ac:dyDescent="0.25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x14ac:dyDescent="0.25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x14ac:dyDescent="0.25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x14ac:dyDescent="0.25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x14ac:dyDescent="0.25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x14ac:dyDescent="0.25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x14ac:dyDescent="0.25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x14ac:dyDescent="0.25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x14ac:dyDescent="0.25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x14ac:dyDescent="0.25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x14ac:dyDescent="0.25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x14ac:dyDescent="0.25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x14ac:dyDescent="0.25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x14ac:dyDescent="0.25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x14ac:dyDescent="0.25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x14ac:dyDescent="0.25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x14ac:dyDescent="0.25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x14ac:dyDescent="0.25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x14ac:dyDescent="0.25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x14ac:dyDescent="0.25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x14ac:dyDescent="0.25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x14ac:dyDescent="0.25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x14ac:dyDescent="0.25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x14ac:dyDescent="0.25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x14ac:dyDescent="0.25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x14ac:dyDescent="0.25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x14ac:dyDescent="0.25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x14ac:dyDescent="0.25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x14ac:dyDescent="0.25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x14ac:dyDescent="0.25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x14ac:dyDescent="0.25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x14ac:dyDescent="0.25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x14ac:dyDescent="0.25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x14ac:dyDescent="0.25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x14ac:dyDescent="0.25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x14ac:dyDescent="0.25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x14ac:dyDescent="0.25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x14ac:dyDescent="0.25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x14ac:dyDescent="0.25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x14ac:dyDescent="0.25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x14ac:dyDescent="0.25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x14ac:dyDescent="0.25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x14ac:dyDescent="0.25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x14ac:dyDescent="0.25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x14ac:dyDescent="0.25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x14ac:dyDescent="0.25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x14ac:dyDescent="0.25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x14ac:dyDescent="0.25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x14ac:dyDescent="0.25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x14ac:dyDescent="0.25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x14ac:dyDescent="0.25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x14ac:dyDescent="0.25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x14ac:dyDescent="0.25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x14ac:dyDescent="0.25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x14ac:dyDescent="0.25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x14ac:dyDescent="0.25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x14ac:dyDescent="0.25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x14ac:dyDescent="0.25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x14ac:dyDescent="0.25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x14ac:dyDescent="0.25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x14ac:dyDescent="0.25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x14ac:dyDescent="0.25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x14ac:dyDescent="0.25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x14ac:dyDescent="0.25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x14ac:dyDescent="0.25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x14ac:dyDescent="0.25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x14ac:dyDescent="0.25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x14ac:dyDescent="0.25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x14ac:dyDescent="0.25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x14ac:dyDescent="0.25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x14ac:dyDescent="0.25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x14ac:dyDescent="0.25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x14ac:dyDescent="0.25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x14ac:dyDescent="0.25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x14ac:dyDescent="0.25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x14ac:dyDescent="0.25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x14ac:dyDescent="0.25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x14ac:dyDescent="0.25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x14ac:dyDescent="0.25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x14ac:dyDescent="0.25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x14ac:dyDescent="0.25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x14ac:dyDescent="0.25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x14ac:dyDescent="0.25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x14ac:dyDescent="0.25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x14ac:dyDescent="0.25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x14ac:dyDescent="0.25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x14ac:dyDescent="0.25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x14ac:dyDescent="0.25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x14ac:dyDescent="0.25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x14ac:dyDescent="0.25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x14ac:dyDescent="0.25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x14ac:dyDescent="0.25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x14ac:dyDescent="0.25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x14ac:dyDescent="0.25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x14ac:dyDescent="0.25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x14ac:dyDescent="0.25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x14ac:dyDescent="0.25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x14ac:dyDescent="0.25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x14ac:dyDescent="0.25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x14ac:dyDescent="0.25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x14ac:dyDescent="0.25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x14ac:dyDescent="0.25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x14ac:dyDescent="0.25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x14ac:dyDescent="0.25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x14ac:dyDescent="0.25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x14ac:dyDescent="0.25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x14ac:dyDescent="0.25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x14ac:dyDescent="0.25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x14ac:dyDescent="0.25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x14ac:dyDescent="0.25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x14ac:dyDescent="0.25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x14ac:dyDescent="0.25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x14ac:dyDescent="0.25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x14ac:dyDescent="0.25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x14ac:dyDescent="0.25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x14ac:dyDescent="0.25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x14ac:dyDescent="0.25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x14ac:dyDescent="0.25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x14ac:dyDescent="0.25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x14ac:dyDescent="0.25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x14ac:dyDescent="0.25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x14ac:dyDescent="0.25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x14ac:dyDescent="0.25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x14ac:dyDescent="0.25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x14ac:dyDescent="0.25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x14ac:dyDescent="0.25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x14ac:dyDescent="0.25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x14ac:dyDescent="0.25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x14ac:dyDescent="0.25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x14ac:dyDescent="0.25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x14ac:dyDescent="0.25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x14ac:dyDescent="0.25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x14ac:dyDescent="0.25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x14ac:dyDescent="0.25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x14ac:dyDescent="0.25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x14ac:dyDescent="0.25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x14ac:dyDescent="0.25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x14ac:dyDescent="0.25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x14ac:dyDescent="0.25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x14ac:dyDescent="0.25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x14ac:dyDescent="0.25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x14ac:dyDescent="0.25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x14ac:dyDescent="0.25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x14ac:dyDescent="0.25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x14ac:dyDescent="0.25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x14ac:dyDescent="0.25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x14ac:dyDescent="0.25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x14ac:dyDescent="0.25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x14ac:dyDescent="0.25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x14ac:dyDescent="0.25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x14ac:dyDescent="0.25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x14ac:dyDescent="0.25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x14ac:dyDescent="0.25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x14ac:dyDescent="0.25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x14ac:dyDescent="0.25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x14ac:dyDescent="0.25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x14ac:dyDescent="0.25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x14ac:dyDescent="0.25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x14ac:dyDescent="0.25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x14ac:dyDescent="0.25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x14ac:dyDescent="0.25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x14ac:dyDescent="0.25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x14ac:dyDescent="0.25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x14ac:dyDescent="0.25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x14ac:dyDescent="0.25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x14ac:dyDescent="0.25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x14ac:dyDescent="0.25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x14ac:dyDescent="0.25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x14ac:dyDescent="0.25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x14ac:dyDescent="0.25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x14ac:dyDescent="0.25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x14ac:dyDescent="0.25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x14ac:dyDescent="0.25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x14ac:dyDescent="0.25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x14ac:dyDescent="0.25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x14ac:dyDescent="0.25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x14ac:dyDescent="0.25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x14ac:dyDescent="0.25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x14ac:dyDescent="0.25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x14ac:dyDescent="0.25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x14ac:dyDescent="0.25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x14ac:dyDescent="0.25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x14ac:dyDescent="0.25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x14ac:dyDescent="0.25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x14ac:dyDescent="0.25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x14ac:dyDescent="0.25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x14ac:dyDescent="0.25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x14ac:dyDescent="0.25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x14ac:dyDescent="0.25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x14ac:dyDescent="0.25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x14ac:dyDescent="0.25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x14ac:dyDescent="0.25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x14ac:dyDescent="0.25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x14ac:dyDescent="0.25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x14ac:dyDescent="0.25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x14ac:dyDescent="0.25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x14ac:dyDescent="0.25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x14ac:dyDescent="0.25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x14ac:dyDescent="0.25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x14ac:dyDescent="0.25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x14ac:dyDescent="0.25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x14ac:dyDescent="0.25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x14ac:dyDescent="0.25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x14ac:dyDescent="0.25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x14ac:dyDescent="0.25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x14ac:dyDescent="0.25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x14ac:dyDescent="0.25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x14ac:dyDescent="0.25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x14ac:dyDescent="0.25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x14ac:dyDescent="0.25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x14ac:dyDescent="0.25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x14ac:dyDescent="0.25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x14ac:dyDescent="0.25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x14ac:dyDescent="0.25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x14ac:dyDescent="0.25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x14ac:dyDescent="0.25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x14ac:dyDescent="0.25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x14ac:dyDescent="0.25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x14ac:dyDescent="0.25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x14ac:dyDescent="0.25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x14ac:dyDescent="0.25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x14ac:dyDescent="0.25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x14ac:dyDescent="0.25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x14ac:dyDescent="0.25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x14ac:dyDescent="0.25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x14ac:dyDescent="0.25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x14ac:dyDescent="0.25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x14ac:dyDescent="0.25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x14ac:dyDescent="0.25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x14ac:dyDescent="0.25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x14ac:dyDescent="0.25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x14ac:dyDescent="0.25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x14ac:dyDescent="0.25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x14ac:dyDescent="0.25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x14ac:dyDescent="0.25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x14ac:dyDescent="0.25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x14ac:dyDescent="0.25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x14ac:dyDescent="0.25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x14ac:dyDescent="0.25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x14ac:dyDescent="0.25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x14ac:dyDescent="0.25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x14ac:dyDescent="0.25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x14ac:dyDescent="0.25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x14ac:dyDescent="0.25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x14ac:dyDescent="0.25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x14ac:dyDescent="0.25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x14ac:dyDescent="0.25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x14ac:dyDescent="0.25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x14ac:dyDescent="0.25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x14ac:dyDescent="0.25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x14ac:dyDescent="0.25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x14ac:dyDescent="0.25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x14ac:dyDescent="0.25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x14ac:dyDescent="0.25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x14ac:dyDescent="0.25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x14ac:dyDescent="0.25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x14ac:dyDescent="0.25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x14ac:dyDescent="0.25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x14ac:dyDescent="0.25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x14ac:dyDescent="0.25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x14ac:dyDescent="0.25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x14ac:dyDescent="0.25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x14ac:dyDescent="0.25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x14ac:dyDescent="0.25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x14ac:dyDescent="0.25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x14ac:dyDescent="0.25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x14ac:dyDescent="0.25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x14ac:dyDescent="0.25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x14ac:dyDescent="0.25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x14ac:dyDescent="0.25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x14ac:dyDescent="0.25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x14ac:dyDescent="0.25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x14ac:dyDescent="0.25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x14ac:dyDescent="0.25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x14ac:dyDescent="0.25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x14ac:dyDescent="0.25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x14ac:dyDescent="0.25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x14ac:dyDescent="0.25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x14ac:dyDescent="0.25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x14ac:dyDescent="0.25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x14ac:dyDescent="0.25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x14ac:dyDescent="0.25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x14ac:dyDescent="0.25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x14ac:dyDescent="0.25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x14ac:dyDescent="0.25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x14ac:dyDescent="0.25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x14ac:dyDescent="0.25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x14ac:dyDescent="0.25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x14ac:dyDescent="0.25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x14ac:dyDescent="0.25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x14ac:dyDescent="0.25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x14ac:dyDescent="0.25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x14ac:dyDescent="0.25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x14ac:dyDescent="0.25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x14ac:dyDescent="0.25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x14ac:dyDescent="0.25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x14ac:dyDescent="0.25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x14ac:dyDescent="0.25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x14ac:dyDescent="0.25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x14ac:dyDescent="0.25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x14ac:dyDescent="0.25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x14ac:dyDescent="0.25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x14ac:dyDescent="0.25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x14ac:dyDescent="0.25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x14ac:dyDescent="0.25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x14ac:dyDescent="0.25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x14ac:dyDescent="0.25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x14ac:dyDescent="0.25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x14ac:dyDescent="0.25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x14ac:dyDescent="0.25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x14ac:dyDescent="0.25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x14ac:dyDescent="0.25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x14ac:dyDescent="0.25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x14ac:dyDescent="0.25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x14ac:dyDescent="0.25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x14ac:dyDescent="0.25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x14ac:dyDescent="0.25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x14ac:dyDescent="0.25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x14ac:dyDescent="0.25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x14ac:dyDescent="0.25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x14ac:dyDescent="0.25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x14ac:dyDescent="0.25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x14ac:dyDescent="0.25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x14ac:dyDescent="0.25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x14ac:dyDescent="0.25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x14ac:dyDescent="0.25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x14ac:dyDescent="0.25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x14ac:dyDescent="0.25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x14ac:dyDescent="0.25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x14ac:dyDescent="0.25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x14ac:dyDescent="0.25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x14ac:dyDescent="0.25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x14ac:dyDescent="0.25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x14ac:dyDescent="0.25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x14ac:dyDescent="0.25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x14ac:dyDescent="0.25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x14ac:dyDescent="0.25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x14ac:dyDescent="0.25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x14ac:dyDescent="0.25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x14ac:dyDescent="0.25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x14ac:dyDescent="0.25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x14ac:dyDescent="0.25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x14ac:dyDescent="0.25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x14ac:dyDescent="0.25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x14ac:dyDescent="0.25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x14ac:dyDescent="0.25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x14ac:dyDescent="0.25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x14ac:dyDescent="0.25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x14ac:dyDescent="0.25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x14ac:dyDescent="0.25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x14ac:dyDescent="0.25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x14ac:dyDescent="0.25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x14ac:dyDescent="0.25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x14ac:dyDescent="0.25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x14ac:dyDescent="0.25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x14ac:dyDescent="0.25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x14ac:dyDescent="0.25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x14ac:dyDescent="0.25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x14ac:dyDescent="0.25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x14ac:dyDescent="0.25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x14ac:dyDescent="0.25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x14ac:dyDescent="0.25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x14ac:dyDescent="0.25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x14ac:dyDescent="0.25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x14ac:dyDescent="0.25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x14ac:dyDescent="0.25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x14ac:dyDescent="0.25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x14ac:dyDescent="0.25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x14ac:dyDescent="0.25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x14ac:dyDescent="0.25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x14ac:dyDescent="0.25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x14ac:dyDescent="0.25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x14ac:dyDescent="0.25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x14ac:dyDescent="0.25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x14ac:dyDescent="0.25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x14ac:dyDescent="0.25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x14ac:dyDescent="0.25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x14ac:dyDescent="0.25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x14ac:dyDescent="0.25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x14ac:dyDescent="0.25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x14ac:dyDescent="0.25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x14ac:dyDescent="0.25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x14ac:dyDescent="0.25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x14ac:dyDescent="0.25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x14ac:dyDescent="0.25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x14ac:dyDescent="0.25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x14ac:dyDescent="0.25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x14ac:dyDescent="0.25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x14ac:dyDescent="0.25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x14ac:dyDescent="0.25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x14ac:dyDescent="0.25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x14ac:dyDescent="0.25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x14ac:dyDescent="0.25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x14ac:dyDescent="0.25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x14ac:dyDescent="0.25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x14ac:dyDescent="0.25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x14ac:dyDescent="0.25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x14ac:dyDescent="0.25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x14ac:dyDescent="0.25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I1:N1"/>
  </mergeCells>
  <conditionalFormatting sqref="D3:G3 D4:N6">
    <cfRule type="containsText" dxfId="19" priority="1" operator="containsText" text="OK">
      <formula>NOT(ISERROR(SEARCH(("OK"),(D3))))</formula>
    </cfRule>
  </conditionalFormatting>
  <conditionalFormatting sqref="D3:G3 D4:N6">
    <cfRule type="containsText" dxfId="18" priority="2" operator="containsText" text="ERROR">
      <formula>NOT(ISERROR(SEARCH(("ERROR"),(D3))))</formula>
    </cfRule>
  </conditionalFormatting>
  <pageMargins left="0.7" right="0.7" top="0.75" bottom="0.75" header="0" footer="0"/>
  <pageSetup scale="8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xSplit="3" ySplit="6" topLeftCell="D170" activePane="bottomRight" state="frozen"/>
      <selection pane="topRight" activeCell="D1" sqref="D1"/>
      <selection pane="bottomLeft" activeCell="A7" sqref="A7"/>
      <selection pane="bottomRight" activeCell="J176" sqref="J176"/>
    </sheetView>
  </sheetViews>
  <sheetFormatPr defaultColWidth="12.5703125" defaultRowHeight="15" customHeight="1" outlineLevelRow="1" x14ac:dyDescent="0.2"/>
  <cols>
    <col min="1" max="16" width="14.42578125" customWidth="1"/>
    <col min="17" max="26" width="9.140625" customWidth="1"/>
  </cols>
  <sheetData>
    <row r="1" spans="1:26" ht="15.75" x14ac:dyDescent="0.25">
      <c r="A1" s="97"/>
      <c r="B1" s="98"/>
      <c r="C1" s="99"/>
      <c r="D1" s="175" t="s">
        <v>257</v>
      </c>
      <c r="E1" s="170"/>
      <c r="F1" s="170"/>
      <c r="G1" s="170"/>
      <c r="H1" s="171"/>
      <c r="I1" s="174" t="s">
        <v>154</v>
      </c>
      <c r="J1" s="170"/>
      <c r="K1" s="170"/>
      <c r="L1" s="170"/>
      <c r="M1" s="170"/>
      <c r="N1" s="171"/>
      <c r="O1" s="176" t="s">
        <v>258</v>
      </c>
      <c r="P1" s="171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 x14ac:dyDescent="0.35">
      <c r="A2" s="1" t="str">
        <f>'M&amp;A Assumptions &amp; Analysis'!D6&amp; " Model"</f>
        <v>Online Company Inc Model</v>
      </c>
      <c r="B2" s="2"/>
      <c r="C2" s="3"/>
      <c r="D2" s="153">
        <v>2020</v>
      </c>
      <c r="E2" s="153">
        <f t="shared" ref="E2:N2" si="0">+D2+1</f>
        <v>2021</v>
      </c>
      <c r="F2" s="153">
        <f t="shared" si="0"/>
        <v>2022</v>
      </c>
      <c r="G2" s="153">
        <f t="shared" si="0"/>
        <v>2023</v>
      </c>
      <c r="H2" s="153">
        <f t="shared" si="0"/>
        <v>2024</v>
      </c>
      <c r="I2" s="5">
        <f t="shared" si="0"/>
        <v>2025</v>
      </c>
      <c r="J2" s="5">
        <f t="shared" si="0"/>
        <v>2026</v>
      </c>
      <c r="K2" s="5">
        <f t="shared" si="0"/>
        <v>2027</v>
      </c>
      <c r="L2" s="5">
        <f t="shared" si="0"/>
        <v>2028</v>
      </c>
      <c r="M2" s="5">
        <f t="shared" si="0"/>
        <v>2029</v>
      </c>
      <c r="N2" s="5">
        <f t="shared" si="0"/>
        <v>2030</v>
      </c>
      <c r="O2" s="154">
        <f t="shared" ref="O2:P2" si="1">+O4</f>
        <v>45838</v>
      </c>
      <c r="P2" s="154">
        <f t="shared" si="1"/>
        <v>46022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outlineLevel="1" x14ac:dyDescent="0.25">
      <c r="A3" s="104" t="s">
        <v>157</v>
      </c>
      <c r="B3" s="104"/>
      <c r="C3" s="155"/>
      <c r="D3" s="8" t="str">
        <f t="shared" ref="D3:N3" si="2">IFERROR(IF(ABS(D101)&gt;1,"ERROR","ok"),"ok")</f>
        <v>ok</v>
      </c>
      <c r="E3" s="8" t="str">
        <f t="shared" si="2"/>
        <v>ok</v>
      </c>
      <c r="F3" s="8" t="str">
        <f t="shared" si="2"/>
        <v>ok</v>
      </c>
      <c r="G3" s="8" t="str">
        <f t="shared" si="2"/>
        <v>ok</v>
      </c>
      <c r="H3" s="8" t="str">
        <f t="shared" si="2"/>
        <v>ok</v>
      </c>
      <c r="I3" s="8" t="str">
        <f t="shared" si="2"/>
        <v>ok</v>
      </c>
      <c r="J3" s="8" t="str">
        <f t="shared" si="2"/>
        <v>ok</v>
      </c>
      <c r="K3" s="8" t="str">
        <f t="shared" si="2"/>
        <v>ok</v>
      </c>
      <c r="L3" s="8" t="str">
        <f t="shared" si="2"/>
        <v>ok</v>
      </c>
      <c r="M3" s="8" t="str">
        <f t="shared" si="2"/>
        <v>ok</v>
      </c>
      <c r="N3" s="8" t="str">
        <f t="shared" si="2"/>
        <v>ok</v>
      </c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outlineLevel="1" x14ac:dyDescent="0.25">
      <c r="A4" s="104" t="s">
        <v>158</v>
      </c>
      <c r="B4" s="6"/>
      <c r="C4" s="7"/>
      <c r="D4" s="105">
        <v>44196</v>
      </c>
      <c r="E4" s="106">
        <f t="shared" ref="E4:N4" si="3">EOMONTH(D4,12)</f>
        <v>44561</v>
      </c>
      <c r="F4" s="106">
        <f t="shared" si="3"/>
        <v>44926</v>
      </c>
      <c r="G4" s="106">
        <f t="shared" si="3"/>
        <v>45291</v>
      </c>
      <c r="H4" s="106">
        <f t="shared" si="3"/>
        <v>45657</v>
      </c>
      <c r="I4" s="106">
        <f t="shared" si="3"/>
        <v>46022</v>
      </c>
      <c r="J4" s="106">
        <f t="shared" si="3"/>
        <v>46387</v>
      </c>
      <c r="K4" s="106">
        <f t="shared" si="3"/>
        <v>46752</v>
      </c>
      <c r="L4" s="106">
        <f t="shared" si="3"/>
        <v>47118</v>
      </c>
      <c r="M4" s="106">
        <f t="shared" si="3"/>
        <v>47483</v>
      </c>
      <c r="N4" s="106">
        <f t="shared" si="3"/>
        <v>47848</v>
      </c>
      <c r="O4" s="156">
        <f>+'M&amp;A Assumptions &amp; Analysis'!D10</f>
        <v>45838</v>
      </c>
      <c r="P4" s="106">
        <f>+EOMONTH(O4,P6*12)</f>
        <v>46022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outlineLevel="1" x14ac:dyDescent="0.25">
      <c r="A5" s="104" t="s">
        <v>159</v>
      </c>
      <c r="B5" s="6"/>
      <c r="C5" s="7"/>
      <c r="D5" s="107">
        <v>366</v>
      </c>
      <c r="E5" s="108">
        <f t="shared" ref="E5:N5" si="4">E4-D4</f>
        <v>365</v>
      </c>
      <c r="F5" s="108">
        <f t="shared" si="4"/>
        <v>365</v>
      </c>
      <c r="G5" s="108">
        <f t="shared" si="4"/>
        <v>365</v>
      </c>
      <c r="H5" s="108">
        <f t="shared" si="4"/>
        <v>366</v>
      </c>
      <c r="I5" s="108">
        <f t="shared" si="4"/>
        <v>365</v>
      </c>
      <c r="J5" s="108">
        <f t="shared" si="4"/>
        <v>365</v>
      </c>
      <c r="K5" s="108">
        <f t="shared" si="4"/>
        <v>365</v>
      </c>
      <c r="L5" s="108">
        <f t="shared" si="4"/>
        <v>366</v>
      </c>
      <c r="M5" s="108">
        <f t="shared" si="4"/>
        <v>365</v>
      </c>
      <c r="N5" s="108">
        <f t="shared" si="4"/>
        <v>365</v>
      </c>
      <c r="O5" s="8">
        <f>+O4-H4</f>
        <v>181</v>
      </c>
      <c r="P5" s="108">
        <f>+P4-O4</f>
        <v>184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outlineLevel="1" x14ac:dyDescent="0.25">
      <c r="A6" s="104" t="s">
        <v>160</v>
      </c>
      <c r="B6" s="6"/>
      <c r="C6" s="7"/>
      <c r="D6" s="109">
        <v>1</v>
      </c>
      <c r="E6" s="110">
        <f t="shared" ref="E6:N6" si="5">D6</f>
        <v>1</v>
      </c>
      <c r="F6" s="110">
        <f t="shared" si="5"/>
        <v>1</v>
      </c>
      <c r="G6" s="110">
        <f t="shared" si="5"/>
        <v>1</v>
      </c>
      <c r="H6" s="110">
        <f t="shared" si="5"/>
        <v>1</v>
      </c>
      <c r="I6" s="110">
        <f t="shared" si="5"/>
        <v>1</v>
      </c>
      <c r="J6" s="110">
        <f t="shared" si="5"/>
        <v>1</v>
      </c>
      <c r="K6" s="110">
        <f t="shared" si="5"/>
        <v>1</v>
      </c>
      <c r="L6" s="110">
        <f t="shared" si="5"/>
        <v>1</v>
      </c>
      <c r="M6" s="110">
        <f t="shared" si="5"/>
        <v>1</v>
      </c>
      <c r="N6" s="110">
        <f t="shared" si="5"/>
        <v>1</v>
      </c>
      <c r="O6" s="110">
        <v>0.5</v>
      </c>
      <c r="P6" s="157">
        <f>1-O6</f>
        <v>0.5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x14ac:dyDescent="0.35">
      <c r="A8" s="9" t="s">
        <v>0</v>
      </c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outlineLevel="1" x14ac:dyDescent="0.25">
      <c r="A9" s="6"/>
      <c r="B9" s="6"/>
      <c r="C9" s="7"/>
      <c r="D9" s="6"/>
      <c r="E9" s="6"/>
      <c r="F9" s="6"/>
      <c r="G9" s="6"/>
      <c r="H9" s="6"/>
      <c r="I9" s="19"/>
      <c r="J9" s="19"/>
      <c r="K9" s="19"/>
      <c r="L9" s="19"/>
      <c r="M9" s="19"/>
      <c r="N9" s="1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outlineLevel="1" x14ac:dyDescent="0.25">
      <c r="A10" s="6"/>
      <c r="B10" s="6"/>
      <c r="C10" s="7"/>
      <c r="D10" s="6"/>
      <c r="E10" s="6"/>
      <c r="F10" s="6"/>
      <c r="G10" s="8"/>
      <c r="H10" s="8" t="s">
        <v>259</v>
      </c>
      <c r="I10" s="158">
        <v>1</v>
      </c>
      <c r="J10" s="8"/>
      <c r="K10" s="6"/>
      <c r="L10" s="19"/>
      <c r="M10" s="19"/>
      <c r="N10" s="1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outlineLevel="1" x14ac:dyDescent="0.25">
      <c r="A11" s="6"/>
      <c r="B11" s="6"/>
      <c r="C11" s="7"/>
      <c r="D11" s="6"/>
      <c r="E11" s="6"/>
      <c r="F11" s="6"/>
      <c r="G11" s="6"/>
      <c r="H11" s="6"/>
      <c r="I11" s="19"/>
      <c r="J11" s="19"/>
      <c r="K11" s="19"/>
      <c r="L11" s="19"/>
      <c r="M11" s="19"/>
      <c r="N11" s="1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outlineLevel="1" x14ac:dyDescent="0.25">
      <c r="A12" s="25" t="s">
        <v>260</v>
      </c>
      <c r="B12" s="6"/>
      <c r="C12" s="7"/>
      <c r="D12" s="6"/>
      <c r="E12" s="6"/>
      <c r="F12" s="6"/>
      <c r="G12" s="6"/>
      <c r="H12" s="159"/>
      <c r="I12" s="160"/>
      <c r="J12" s="160"/>
      <c r="K12" s="160"/>
      <c r="L12" s="160"/>
      <c r="M12" s="160"/>
      <c r="N12" s="16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outlineLevel="1" x14ac:dyDescent="0.25">
      <c r="A13" s="26" t="s">
        <v>162</v>
      </c>
      <c r="B13" s="35"/>
      <c r="C13" s="49"/>
      <c r="D13" s="35"/>
      <c r="E13" s="93"/>
      <c r="F13" s="93"/>
      <c r="G13" s="93"/>
      <c r="H13" s="93"/>
      <c r="I13" s="161">
        <v>0.1</v>
      </c>
      <c r="J13" s="161">
        <v>0.1</v>
      </c>
      <c r="K13" s="161">
        <v>0.1</v>
      </c>
      <c r="L13" s="161">
        <v>0.09</v>
      </c>
      <c r="M13" s="161">
        <v>0.08</v>
      </c>
      <c r="N13" s="161">
        <v>7.0000000000000007E-2</v>
      </c>
      <c r="O13" s="161">
        <v>0.1</v>
      </c>
      <c r="P13" s="161">
        <v>0.1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outlineLevel="1" x14ac:dyDescent="0.25">
      <c r="A14" s="6" t="s">
        <v>163</v>
      </c>
      <c r="B14" s="6"/>
      <c r="C14" s="7"/>
      <c r="D14" s="44">
        <v>0.37</v>
      </c>
      <c r="E14" s="44">
        <v>0.38</v>
      </c>
      <c r="F14" s="44">
        <v>0.39</v>
      </c>
      <c r="G14" s="44">
        <v>0.4</v>
      </c>
      <c r="H14" s="44">
        <v>0.41</v>
      </c>
      <c r="I14" s="118">
        <v>0.42</v>
      </c>
      <c r="J14" s="118">
        <v>0.43</v>
      </c>
      <c r="K14" s="118">
        <v>0.44</v>
      </c>
      <c r="L14" s="118">
        <v>0.45</v>
      </c>
      <c r="M14" s="118">
        <v>0.46</v>
      </c>
      <c r="N14" s="118">
        <v>0.46</v>
      </c>
      <c r="O14" s="118">
        <v>0.42</v>
      </c>
      <c r="P14" s="118">
        <v>0.42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outlineLevel="1" x14ac:dyDescent="0.25">
      <c r="A15" s="6" t="s">
        <v>261</v>
      </c>
      <c r="B15" s="6"/>
      <c r="C15" s="7"/>
      <c r="D15" s="44"/>
      <c r="E15" s="44"/>
      <c r="F15" s="44"/>
      <c r="G15" s="44"/>
      <c r="H15" s="44"/>
      <c r="I15" s="118">
        <v>0.17</v>
      </c>
      <c r="J15" s="118">
        <v>0.17</v>
      </c>
      <c r="K15" s="118">
        <v>0.17</v>
      </c>
      <c r="L15" s="118">
        <v>0.17</v>
      </c>
      <c r="M15" s="118">
        <v>0.17</v>
      </c>
      <c r="N15" s="118">
        <v>0.17</v>
      </c>
      <c r="O15" s="118">
        <v>0.17</v>
      </c>
      <c r="P15" s="118">
        <v>0.17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outlineLevel="1" x14ac:dyDescent="0.25">
      <c r="A16" s="6" t="s">
        <v>262</v>
      </c>
      <c r="B16" s="6"/>
      <c r="C16" s="7"/>
      <c r="D16" s="6"/>
      <c r="E16" s="6"/>
      <c r="F16" s="6"/>
      <c r="G16" s="6"/>
      <c r="H16" s="6"/>
      <c r="I16" s="121">
        <v>15000</v>
      </c>
      <c r="J16" s="121">
        <v>15000</v>
      </c>
      <c r="K16" s="121">
        <v>15000</v>
      </c>
      <c r="L16" s="121">
        <v>15000</v>
      </c>
      <c r="M16" s="121">
        <v>15000</v>
      </c>
      <c r="N16" s="121">
        <v>15000</v>
      </c>
      <c r="O16" s="121">
        <v>15000</v>
      </c>
      <c r="P16" s="121">
        <v>15000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outlineLevel="1" x14ac:dyDescent="0.25">
      <c r="A17" s="6" t="s">
        <v>165</v>
      </c>
      <c r="B17" s="6"/>
      <c r="C17" s="7"/>
      <c r="D17" s="44"/>
      <c r="E17" s="44"/>
      <c r="F17" s="44"/>
      <c r="G17" s="44"/>
      <c r="H17" s="44"/>
      <c r="I17" s="118">
        <v>0.2</v>
      </c>
      <c r="J17" s="118">
        <v>0.2</v>
      </c>
      <c r="K17" s="118">
        <v>0.2</v>
      </c>
      <c r="L17" s="118">
        <v>0.2</v>
      </c>
      <c r="M17" s="118">
        <v>0.2</v>
      </c>
      <c r="N17" s="118">
        <v>0.2</v>
      </c>
      <c r="O17" s="118">
        <v>0.2</v>
      </c>
      <c r="P17" s="118">
        <v>0.2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outlineLevel="1" x14ac:dyDescent="0.25">
      <c r="A18" s="6" t="s">
        <v>263</v>
      </c>
      <c r="B18" s="6"/>
      <c r="C18" s="7"/>
      <c r="D18" s="44"/>
      <c r="E18" s="44"/>
      <c r="F18" s="44"/>
      <c r="G18" s="44"/>
      <c r="H18" s="44"/>
      <c r="I18" s="118">
        <v>0.1</v>
      </c>
      <c r="J18" s="118">
        <v>0.1</v>
      </c>
      <c r="K18" s="118">
        <v>0.1</v>
      </c>
      <c r="L18" s="118">
        <v>0.1</v>
      </c>
      <c r="M18" s="118">
        <v>0.1</v>
      </c>
      <c r="N18" s="118">
        <v>0.1</v>
      </c>
      <c r="O18" s="118">
        <v>0.1</v>
      </c>
      <c r="P18" s="118">
        <v>0.1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outlineLevel="1" x14ac:dyDescent="0.25">
      <c r="A19" s="6" t="s">
        <v>166</v>
      </c>
      <c r="B19" s="50"/>
      <c r="C19" s="54"/>
      <c r="D19" s="44"/>
      <c r="E19" s="44"/>
      <c r="F19" s="44"/>
      <c r="G19" s="44"/>
      <c r="H19" s="44"/>
      <c r="I19" s="118">
        <v>0.28000000000000003</v>
      </c>
      <c r="J19" s="118">
        <v>0.28000000000000003</v>
      </c>
      <c r="K19" s="118">
        <v>0.28000000000000003</v>
      </c>
      <c r="L19" s="118">
        <v>0.28000000000000003</v>
      </c>
      <c r="M19" s="118">
        <v>0.28000000000000003</v>
      </c>
      <c r="N19" s="118">
        <v>0.28000000000000003</v>
      </c>
      <c r="O19" s="118">
        <v>0.28000000000000003</v>
      </c>
      <c r="P19" s="118">
        <v>0.28000000000000003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outlineLevel="1" x14ac:dyDescent="0.25">
      <c r="A20" s="6" t="s">
        <v>167</v>
      </c>
      <c r="B20" s="6"/>
      <c r="C20" s="120"/>
      <c r="D20" s="6"/>
      <c r="E20" s="6"/>
      <c r="F20" s="6"/>
      <c r="G20" s="6"/>
      <c r="H20" s="6"/>
      <c r="I20" s="121">
        <v>18</v>
      </c>
      <c r="J20" s="121">
        <v>18</v>
      </c>
      <c r="K20" s="121">
        <v>18</v>
      </c>
      <c r="L20" s="121">
        <v>18</v>
      </c>
      <c r="M20" s="121">
        <v>18</v>
      </c>
      <c r="N20" s="121">
        <v>18</v>
      </c>
      <c r="O20" s="121">
        <v>18</v>
      </c>
      <c r="P20" s="121">
        <v>18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outlineLevel="1" x14ac:dyDescent="0.25">
      <c r="A21" s="6" t="s">
        <v>168</v>
      </c>
      <c r="B21" s="6"/>
      <c r="C21" s="120"/>
      <c r="D21" s="6"/>
      <c r="E21" s="6"/>
      <c r="F21" s="6"/>
      <c r="G21" s="6"/>
      <c r="H21" s="6"/>
      <c r="I21" s="121">
        <v>80</v>
      </c>
      <c r="J21" s="121">
        <v>90</v>
      </c>
      <c r="K21" s="121">
        <v>100</v>
      </c>
      <c r="L21" s="121">
        <v>100</v>
      </c>
      <c r="M21" s="121">
        <v>100</v>
      </c>
      <c r="N21" s="121">
        <v>100</v>
      </c>
      <c r="O21" s="121">
        <v>80</v>
      </c>
      <c r="P21" s="121">
        <v>80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outlineLevel="1" x14ac:dyDescent="0.25">
      <c r="A22" s="6" t="s">
        <v>169</v>
      </c>
      <c r="B22" s="6"/>
      <c r="C22" s="120"/>
      <c r="D22" s="6"/>
      <c r="E22" s="6"/>
      <c r="F22" s="6"/>
      <c r="G22" s="6"/>
      <c r="H22" s="6"/>
      <c r="I22" s="121">
        <v>37</v>
      </c>
      <c r="J22" s="121">
        <v>37</v>
      </c>
      <c r="K22" s="121">
        <v>37</v>
      </c>
      <c r="L22" s="121">
        <v>37</v>
      </c>
      <c r="M22" s="121">
        <v>37</v>
      </c>
      <c r="N22" s="121">
        <v>37</v>
      </c>
      <c r="O22" s="121">
        <v>37</v>
      </c>
      <c r="P22" s="121">
        <v>37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outlineLevel="1" x14ac:dyDescent="0.25">
      <c r="A23" s="6" t="s">
        <v>264</v>
      </c>
      <c r="B23" s="6"/>
      <c r="C23" s="7"/>
      <c r="D23" s="6">
        <v>15000</v>
      </c>
      <c r="E23" s="6">
        <v>15000</v>
      </c>
      <c r="F23" s="6">
        <v>15000</v>
      </c>
      <c r="G23" s="6">
        <v>15000</v>
      </c>
      <c r="H23" s="6">
        <v>15000</v>
      </c>
      <c r="I23" s="121">
        <v>15000</v>
      </c>
      <c r="J23" s="121">
        <v>15000</v>
      </c>
      <c r="K23" s="121">
        <v>15000</v>
      </c>
      <c r="L23" s="121">
        <v>15000</v>
      </c>
      <c r="M23" s="121">
        <v>15000</v>
      </c>
      <c r="N23" s="121">
        <v>15000</v>
      </c>
      <c r="O23" s="121">
        <v>15000</v>
      </c>
      <c r="P23" s="121">
        <v>15000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outlineLevel="1" x14ac:dyDescent="0.25">
      <c r="A24" s="6" t="s">
        <v>265</v>
      </c>
      <c r="B24" s="6"/>
      <c r="C24" s="7"/>
      <c r="D24" s="6"/>
      <c r="E24" s="6"/>
      <c r="F24" s="6"/>
      <c r="G24" s="6"/>
      <c r="H24" s="6"/>
      <c r="I24" s="121">
        <v>0</v>
      </c>
      <c r="J24" s="121">
        <v>0</v>
      </c>
      <c r="K24" s="121">
        <v>-20000</v>
      </c>
      <c r="L24" s="121">
        <v>0</v>
      </c>
      <c r="M24" s="121">
        <v>0</v>
      </c>
      <c r="N24" s="121">
        <v>0</v>
      </c>
      <c r="O24" s="121">
        <v>0</v>
      </c>
      <c r="P24" s="121"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outlineLevel="1" x14ac:dyDescent="0.25">
      <c r="A25" s="6" t="s">
        <v>170</v>
      </c>
      <c r="B25" s="6"/>
      <c r="C25" s="7"/>
      <c r="D25" s="6"/>
      <c r="E25" s="6"/>
      <c r="F25" s="6"/>
      <c r="G25" s="6"/>
      <c r="H25" s="6"/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outlineLevel="1" x14ac:dyDescent="0.25">
      <c r="A26" s="6" t="s">
        <v>198</v>
      </c>
      <c r="B26" s="6"/>
      <c r="C26" s="7"/>
      <c r="D26" s="6"/>
      <c r="E26" s="6"/>
      <c r="F26" s="6"/>
      <c r="G26" s="6"/>
      <c r="H26" s="6"/>
      <c r="I26" s="121">
        <v>0</v>
      </c>
      <c r="J26" s="121">
        <v>0</v>
      </c>
      <c r="K26" s="121">
        <v>0</v>
      </c>
      <c r="L26" s="121">
        <v>0</v>
      </c>
      <c r="M26" s="121">
        <v>200</v>
      </c>
      <c r="N26" s="121">
        <v>200</v>
      </c>
      <c r="O26" s="121">
        <v>0</v>
      </c>
      <c r="P26" s="121"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outlineLevel="1" x14ac:dyDescent="0.25">
      <c r="A27" s="6"/>
      <c r="B27" s="6"/>
      <c r="C27" s="7"/>
      <c r="D27" s="6"/>
      <c r="E27" s="6"/>
      <c r="F27" s="6"/>
      <c r="G27" s="6"/>
      <c r="H27" s="6"/>
      <c r="I27" s="19"/>
      <c r="J27" s="19"/>
      <c r="K27" s="19"/>
      <c r="L27" s="19"/>
      <c r="M27" s="19"/>
      <c r="N27" s="1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outlineLevel="1" x14ac:dyDescent="0.25">
      <c r="A28" s="25" t="s">
        <v>266</v>
      </c>
      <c r="B28" s="6"/>
      <c r="C28" s="7"/>
      <c r="D28" s="6"/>
      <c r="E28" s="6"/>
      <c r="F28" s="6"/>
      <c r="G28" s="6"/>
      <c r="H28" s="159"/>
      <c r="I28" s="160"/>
      <c r="J28" s="160"/>
      <c r="K28" s="160"/>
      <c r="L28" s="160"/>
      <c r="M28" s="160"/>
      <c r="N28" s="160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outlineLevel="1" x14ac:dyDescent="0.25">
      <c r="A29" s="26" t="s">
        <v>162</v>
      </c>
      <c r="B29" s="35"/>
      <c r="C29" s="49"/>
      <c r="D29" s="35"/>
      <c r="E29" s="93"/>
      <c r="F29" s="93"/>
      <c r="G29" s="93"/>
      <c r="H29" s="93"/>
      <c r="I29" s="161">
        <v>0.05</v>
      </c>
      <c r="J29" s="161">
        <v>4.4999999999999998E-2</v>
      </c>
      <c r="K29" s="161">
        <v>0.04</v>
      </c>
      <c r="L29" s="161">
        <v>3.5000000000000003E-2</v>
      </c>
      <c r="M29" s="161">
        <v>0.03</v>
      </c>
      <c r="N29" s="161">
        <v>0.03</v>
      </c>
      <c r="O29" s="161">
        <v>0.05</v>
      </c>
      <c r="P29" s="161">
        <v>0.05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outlineLevel="1" x14ac:dyDescent="0.25">
      <c r="A30" s="6" t="s">
        <v>163</v>
      </c>
      <c r="B30" s="6"/>
      <c r="C30" s="7"/>
      <c r="D30" s="44"/>
      <c r="E30" s="44"/>
      <c r="F30" s="44"/>
      <c r="G30" s="44"/>
      <c r="H30" s="44"/>
      <c r="I30" s="118">
        <v>0.37</v>
      </c>
      <c r="J30" s="118">
        <v>0.37</v>
      </c>
      <c r="K30" s="118">
        <v>0.36</v>
      </c>
      <c r="L30" s="118">
        <v>0.36</v>
      </c>
      <c r="M30" s="118">
        <v>0.35</v>
      </c>
      <c r="N30" s="118">
        <v>0.35</v>
      </c>
      <c r="O30" s="118">
        <v>0.37</v>
      </c>
      <c r="P30" s="118">
        <v>0.37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outlineLevel="1" x14ac:dyDescent="0.25">
      <c r="A31" s="6" t="s">
        <v>261</v>
      </c>
      <c r="B31" s="6"/>
      <c r="C31" s="7"/>
      <c r="D31" s="44"/>
      <c r="E31" s="44"/>
      <c r="F31" s="44"/>
      <c r="G31" s="44"/>
      <c r="H31" s="44"/>
      <c r="I31" s="118">
        <v>0.17</v>
      </c>
      <c r="J31" s="118">
        <v>0.17</v>
      </c>
      <c r="K31" s="118">
        <v>0.17</v>
      </c>
      <c r="L31" s="118">
        <v>0.17</v>
      </c>
      <c r="M31" s="118">
        <v>0.17</v>
      </c>
      <c r="N31" s="118">
        <v>0.17</v>
      </c>
      <c r="O31" s="118">
        <v>0.17</v>
      </c>
      <c r="P31" s="118">
        <v>0.17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outlineLevel="1" x14ac:dyDescent="0.25">
      <c r="A32" s="6" t="s">
        <v>262</v>
      </c>
      <c r="B32" s="6"/>
      <c r="C32" s="7"/>
      <c r="D32" s="6"/>
      <c r="E32" s="6"/>
      <c r="F32" s="6"/>
      <c r="G32" s="6"/>
      <c r="H32" s="6"/>
      <c r="I32" s="121">
        <v>10000</v>
      </c>
      <c r="J32" s="121">
        <v>10000</v>
      </c>
      <c r="K32" s="121">
        <v>10000</v>
      </c>
      <c r="L32" s="121">
        <v>10000</v>
      </c>
      <c r="M32" s="121">
        <v>10000</v>
      </c>
      <c r="N32" s="121">
        <v>10000</v>
      </c>
      <c r="O32" s="121">
        <v>10000</v>
      </c>
      <c r="P32" s="121">
        <v>10000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outlineLevel="1" x14ac:dyDescent="0.25">
      <c r="A33" s="6" t="s">
        <v>165</v>
      </c>
      <c r="B33" s="6"/>
      <c r="C33" s="7"/>
      <c r="D33" s="44"/>
      <c r="E33" s="44"/>
      <c r="F33" s="44"/>
      <c r="G33" s="44"/>
      <c r="H33" s="44"/>
      <c r="I33" s="118">
        <v>0.2</v>
      </c>
      <c r="J33" s="118">
        <v>0.2</v>
      </c>
      <c r="K33" s="118">
        <v>0.2</v>
      </c>
      <c r="L33" s="118">
        <v>0.2</v>
      </c>
      <c r="M33" s="118">
        <v>0.2</v>
      </c>
      <c r="N33" s="118">
        <v>0.2</v>
      </c>
      <c r="O33" s="118">
        <v>0.2</v>
      </c>
      <c r="P33" s="118">
        <v>0.2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outlineLevel="1" x14ac:dyDescent="0.25">
      <c r="A34" s="6" t="s">
        <v>263</v>
      </c>
      <c r="B34" s="6"/>
      <c r="C34" s="7"/>
      <c r="D34" s="44"/>
      <c r="E34" s="44"/>
      <c r="F34" s="44"/>
      <c r="G34" s="44"/>
      <c r="H34" s="44"/>
      <c r="I34" s="118">
        <v>0.05</v>
      </c>
      <c r="J34" s="118">
        <v>0.05</v>
      </c>
      <c r="K34" s="118">
        <v>0.05</v>
      </c>
      <c r="L34" s="118">
        <v>0.05</v>
      </c>
      <c r="M34" s="118">
        <v>0.05</v>
      </c>
      <c r="N34" s="118">
        <v>0.05</v>
      </c>
      <c r="O34" s="118">
        <v>0.05</v>
      </c>
      <c r="P34" s="118">
        <v>0.05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outlineLevel="1" x14ac:dyDescent="0.25">
      <c r="A35" s="6" t="s">
        <v>166</v>
      </c>
      <c r="B35" s="50"/>
      <c r="C35" s="54"/>
      <c r="D35" s="44"/>
      <c r="E35" s="44"/>
      <c r="F35" s="44"/>
      <c r="G35" s="44"/>
      <c r="H35" s="44"/>
      <c r="I35" s="118">
        <v>0.28000000000000003</v>
      </c>
      <c r="J35" s="118">
        <v>0.28000000000000003</v>
      </c>
      <c r="K35" s="118">
        <v>0.28000000000000003</v>
      </c>
      <c r="L35" s="118">
        <v>0.28000000000000003</v>
      </c>
      <c r="M35" s="118">
        <v>0.28000000000000003</v>
      </c>
      <c r="N35" s="118">
        <v>0.28000000000000003</v>
      </c>
      <c r="O35" s="118">
        <v>0.28000000000000003</v>
      </c>
      <c r="P35" s="118">
        <v>0.28000000000000003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outlineLevel="1" x14ac:dyDescent="0.25">
      <c r="A36" s="6" t="s">
        <v>167</v>
      </c>
      <c r="B36" s="6"/>
      <c r="C36" s="120"/>
      <c r="D36" s="6"/>
      <c r="E36" s="6"/>
      <c r="F36" s="6"/>
      <c r="G36" s="6"/>
      <c r="H36" s="6"/>
      <c r="I36" s="121">
        <v>18</v>
      </c>
      <c r="J36" s="121">
        <v>18</v>
      </c>
      <c r="K36" s="121">
        <v>18</v>
      </c>
      <c r="L36" s="121">
        <v>18</v>
      </c>
      <c r="M36" s="121">
        <v>18</v>
      </c>
      <c r="N36" s="121">
        <v>18</v>
      </c>
      <c r="O36" s="121">
        <v>18</v>
      </c>
      <c r="P36" s="121">
        <v>18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outlineLevel="1" x14ac:dyDescent="0.25">
      <c r="A37" s="6" t="s">
        <v>168</v>
      </c>
      <c r="B37" s="6"/>
      <c r="C37" s="120"/>
      <c r="D37" s="6"/>
      <c r="E37" s="6"/>
      <c r="F37" s="6"/>
      <c r="G37" s="6"/>
      <c r="H37" s="6"/>
      <c r="I37" s="121">
        <v>73</v>
      </c>
      <c r="J37" s="121">
        <v>73</v>
      </c>
      <c r="K37" s="121">
        <v>73</v>
      </c>
      <c r="L37" s="121">
        <v>73</v>
      </c>
      <c r="M37" s="121">
        <v>73</v>
      </c>
      <c r="N37" s="121">
        <v>73</v>
      </c>
      <c r="O37" s="121">
        <v>73</v>
      </c>
      <c r="P37" s="121">
        <v>73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outlineLevel="1" x14ac:dyDescent="0.25">
      <c r="A38" s="6" t="s">
        <v>169</v>
      </c>
      <c r="B38" s="6"/>
      <c r="C38" s="120"/>
      <c r="D38" s="6"/>
      <c r="E38" s="6"/>
      <c r="F38" s="6"/>
      <c r="G38" s="6"/>
      <c r="H38" s="6"/>
      <c r="I38" s="121">
        <v>37</v>
      </c>
      <c r="J38" s="121">
        <v>37</v>
      </c>
      <c r="K38" s="121">
        <v>37</v>
      </c>
      <c r="L38" s="121">
        <v>37</v>
      </c>
      <c r="M38" s="121">
        <v>37</v>
      </c>
      <c r="N38" s="121">
        <v>37</v>
      </c>
      <c r="O38" s="121">
        <v>37</v>
      </c>
      <c r="P38" s="121">
        <v>37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outlineLevel="1" x14ac:dyDescent="0.25">
      <c r="A39" s="6" t="s">
        <v>264</v>
      </c>
      <c r="B39" s="6"/>
      <c r="C39" s="7"/>
      <c r="D39" s="6"/>
      <c r="E39" s="6"/>
      <c r="F39" s="6"/>
      <c r="G39" s="6"/>
      <c r="H39" s="6"/>
      <c r="I39" s="121">
        <v>15000</v>
      </c>
      <c r="J39" s="121">
        <v>15000</v>
      </c>
      <c r="K39" s="121">
        <v>15000</v>
      </c>
      <c r="L39" s="121">
        <v>15000</v>
      </c>
      <c r="M39" s="121">
        <v>15000</v>
      </c>
      <c r="N39" s="121">
        <v>15000</v>
      </c>
      <c r="O39" s="121">
        <v>15000</v>
      </c>
      <c r="P39" s="121">
        <v>15000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outlineLevel="1" x14ac:dyDescent="0.25">
      <c r="A40" s="6" t="s">
        <v>265</v>
      </c>
      <c r="B40" s="6"/>
      <c r="C40" s="7"/>
      <c r="D40" s="6"/>
      <c r="E40" s="6"/>
      <c r="F40" s="6"/>
      <c r="G40" s="6"/>
      <c r="H40" s="6"/>
      <c r="I40" s="121">
        <v>0</v>
      </c>
      <c r="J40" s="121">
        <v>0</v>
      </c>
      <c r="K40" s="121">
        <v>-20000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outlineLevel="1" x14ac:dyDescent="0.25">
      <c r="A41" s="6" t="s">
        <v>170</v>
      </c>
      <c r="B41" s="6"/>
      <c r="C41" s="7"/>
      <c r="D41" s="6"/>
      <c r="E41" s="6"/>
      <c r="F41" s="6"/>
      <c r="G41" s="6"/>
      <c r="H41" s="6"/>
      <c r="I41" s="121">
        <v>0</v>
      </c>
      <c r="J41" s="121">
        <v>0</v>
      </c>
      <c r="K41" s="121">
        <v>0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outlineLevel="1" x14ac:dyDescent="0.25">
      <c r="A42" s="6" t="s">
        <v>198</v>
      </c>
      <c r="B42" s="6"/>
      <c r="C42" s="7"/>
      <c r="D42" s="6"/>
      <c r="E42" s="6"/>
      <c r="F42" s="6"/>
      <c r="G42" s="6"/>
      <c r="H42" s="6"/>
      <c r="I42" s="121">
        <v>0</v>
      </c>
      <c r="J42" s="121">
        <v>0</v>
      </c>
      <c r="K42" s="121">
        <v>0</v>
      </c>
      <c r="L42" s="121">
        <v>0</v>
      </c>
      <c r="M42" s="121">
        <v>100</v>
      </c>
      <c r="N42" s="121">
        <v>100</v>
      </c>
      <c r="O42" s="121">
        <v>0</v>
      </c>
      <c r="P42" s="121"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outlineLevel="1" x14ac:dyDescent="0.25">
      <c r="A43" s="6"/>
      <c r="B43" s="6"/>
      <c r="C43" s="7"/>
      <c r="D43" s="6"/>
      <c r="E43" s="6"/>
      <c r="F43" s="6"/>
      <c r="G43" s="6"/>
      <c r="H43" s="6"/>
      <c r="I43" s="19"/>
      <c r="J43" s="19"/>
      <c r="K43" s="19"/>
      <c r="L43" s="19"/>
      <c r="M43" s="19"/>
      <c r="N43" s="1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outlineLevel="1" x14ac:dyDescent="0.25">
      <c r="A44" s="25" t="s">
        <v>259</v>
      </c>
      <c r="B44" s="6"/>
      <c r="C44" s="7"/>
      <c r="D44" s="6"/>
      <c r="E44" s="6"/>
      <c r="F44" s="6"/>
      <c r="G44" s="6"/>
      <c r="H44" s="6"/>
      <c r="I44" s="19"/>
      <c r="J44" s="19"/>
      <c r="K44" s="19"/>
      <c r="L44" s="19"/>
      <c r="M44" s="19"/>
      <c r="N44" s="1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outlineLevel="1" x14ac:dyDescent="0.25">
      <c r="A45" s="26" t="s">
        <v>162</v>
      </c>
      <c r="B45" s="35"/>
      <c r="C45" s="49"/>
      <c r="D45" s="35"/>
      <c r="E45" s="93"/>
      <c r="F45" s="93"/>
      <c r="G45" s="93"/>
      <c r="H45" s="93"/>
      <c r="I45" s="93">
        <f t="shared" ref="I45:P45" si="6">CHOOSE($I$10,I13,I29)</f>
        <v>0.1</v>
      </c>
      <c r="J45" s="93">
        <f t="shared" si="6"/>
        <v>0.1</v>
      </c>
      <c r="K45" s="93">
        <f t="shared" si="6"/>
        <v>0.1</v>
      </c>
      <c r="L45" s="93">
        <f t="shared" si="6"/>
        <v>0.09</v>
      </c>
      <c r="M45" s="93">
        <f t="shared" si="6"/>
        <v>0.08</v>
      </c>
      <c r="N45" s="93">
        <f t="shared" si="6"/>
        <v>7.0000000000000007E-2</v>
      </c>
      <c r="O45" s="93">
        <f t="shared" si="6"/>
        <v>0.1</v>
      </c>
      <c r="P45" s="93">
        <f t="shared" si="6"/>
        <v>0.1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outlineLevel="1" x14ac:dyDescent="0.25">
      <c r="A46" s="6" t="s">
        <v>163</v>
      </c>
      <c r="B46" s="6"/>
      <c r="C46" s="7"/>
      <c r="D46" s="44">
        <f>D14</f>
        <v>0.37</v>
      </c>
      <c r="E46" s="44">
        <f t="shared" ref="E46:H46" si="7">E14</f>
        <v>0.38</v>
      </c>
      <c r="F46" s="44">
        <f t="shared" si="7"/>
        <v>0.39</v>
      </c>
      <c r="G46" s="44">
        <f t="shared" si="7"/>
        <v>0.4</v>
      </c>
      <c r="H46" s="44">
        <f t="shared" si="7"/>
        <v>0.41</v>
      </c>
      <c r="I46" s="44">
        <f t="shared" ref="I46:P46" si="8">CHOOSE($I$10,I14,I30)</f>
        <v>0.42</v>
      </c>
      <c r="J46" s="44">
        <f t="shared" si="8"/>
        <v>0.43</v>
      </c>
      <c r="K46" s="44">
        <f t="shared" si="8"/>
        <v>0.44</v>
      </c>
      <c r="L46" s="44">
        <f t="shared" si="8"/>
        <v>0.45</v>
      </c>
      <c r="M46" s="44">
        <f t="shared" si="8"/>
        <v>0.46</v>
      </c>
      <c r="N46" s="44">
        <f t="shared" si="8"/>
        <v>0.46</v>
      </c>
      <c r="O46" s="44">
        <f t="shared" si="8"/>
        <v>0.42</v>
      </c>
      <c r="P46" s="44">
        <f t="shared" si="8"/>
        <v>0.42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outlineLevel="1" x14ac:dyDescent="0.25">
      <c r="A47" s="6" t="s">
        <v>164</v>
      </c>
      <c r="B47" s="6"/>
      <c r="C47" s="7"/>
      <c r="D47" s="44"/>
      <c r="E47" s="44"/>
      <c r="F47" s="44"/>
      <c r="G47" s="44"/>
      <c r="H47" s="44"/>
      <c r="I47" s="44">
        <f t="shared" ref="I47:P47" si="9">CHOOSE($I$10,I15,I31)</f>
        <v>0.17</v>
      </c>
      <c r="J47" s="44">
        <f t="shared" si="9"/>
        <v>0.17</v>
      </c>
      <c r="K47" s="44">
        <f t="shared" si="9"/>
        <v>0.17</v>
      </c>
      <c r="L47" s="44">
        <f t="shared" si="9"/>
        <v>0.17</v>
      </c>
      <c r="M47" s="44">
        <f t="shared" si="9"/>
        <v>0.17</v>
      </c>
      <c r="N47" s="44">
        <f t="shared" si="9"/>
        <v>0.17</v>
      </c>
      <c r="O47" s="44">
        <f t="shared" si="9"/>
        <v>0.17</v>
      </c>
      <c r="P47" s="44">
        <f t="shared" si="9"/>
        <v>0.17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outlineLevel="1" x14ac:dyDescent="0.25">
      <c r="A48" s="6" t="s">
        <v>267</v>
      </c>
      <c r="B48" s="6"/>
      <c r="C48" s="7"/>
      <c r="D48" s="6"/>
      <c r="E48" s="6"/>
      <c r="F48" s="6"/>
      <c r="G48" s="6"/>
      <c r="H48" s="6"/>
      <c r="I48" s="6">
        <f t="shared" ref="I48:P48" si="10">CHOOSE($I$10,I16,I32)</f>
        <v>15000</v>
      </c>
      <c r="J48" s="6">
        <f t="shared" si="10"/>
        <v>15000</v>
      </c>
      <c r="K48" s="6">
        <f t="shared" si="10"/>
        <v>15000</v>
      </c>
      <c r="L48" s="6">
        <f t="shared" si="10"/>
        <v>15000</v>
      </c>
      <c r="M48" s="6">
        <f t="shared" si="10"/>
        <v>15000</v>
      </c>
      <c r="N48" s="6">
        <f t="shared" si="10"/>
        <v>15000</v>
      </c>
      <c r="O48" s="6">
        <f t="shared" si="10"/>
        <v>15000</v>
      </c>
      <c r="P48" s="6">
        <f t="shared" si="10"/>
        <v>15000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outlineLevel="1" x14ac:dyDescent="0.25">
      <c r="A49" s="6" t="s">
        <v>165</v>
      </c>
      <c r="B49" s="6"/>
      <c r="C49" s="7"/>
      <c r="D49" s="34">
        <v>0.2</v>
      </c>
      <c r="E49" s="34">
        <v>0.2</v>
      </c>
      <c r="F49" s="34">
        <v>0.2</v>
      </c>
      <c r="G49" s="34">
        <v>0.2</v>
      </c>
      <c r="H49" s="34">
        <v>0.2</v>
      </c>
      <c r="I49" s="44">
        <f t="shared" ref="I49:P49" si="11">CHOOSE($I$10,I17,I33)</f>
        <v>0.2</v>
      </c>
      <c r="J49" s="44">
        <f t="shared" si="11"/>
        <v>0.2</v>
      </c>
      <c r="K49" s="44">
        <f t="shared" si="11"/>
        <v>0.2</v>
      </c>
      <c r="L49" s="44">
        <f t="shared" si="11"/>
        <v>0.2</v>
      </c>
      <c r="M49" s="44">
        <f t="shared" si="11"/>
        <v>0.2</v>
      </c>
      <c r="N49" s="44">
        <f t="shared" si="11"/>
        <v>0.2</v>
      </c>
      <c r="O49" s="44">
        <f t="shared" si="11"/>
        <v>0.2</v>
      </c>
      <c r="P49" s="44">
        <f t="shared" si="11"/>
        <v>0.2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outlineLevel="1" x14ac:dyDescent="0.25">
      <c r="A50" s="6" t="s">
        <v>263</v>
      </c>
      <c r="B50" s="6"/>
      <c r="C50" s="7"/>
      <c r="D50" s="44"/>
      <c r="E50" s="44"/>
      <c r="F50" s="44"/>
      <c r="G50" s="44"/>
      <c r="H50" s="44"/>
      <c r="I50" s="44">
        <f t="shared" ref="I50:P50" si="12">CHOOSE($I$10,I18,I34)</f>
        <v>0.1</v>
      </c>
      <c r="J50" s="44">
        <f t="shared" si="12"/>
        <v>0.1</v>
      </c>
      <c r="K50" s="44">
        <f t="shared" si="12"/>
        <v>0.1</v>
      </c>
      <c r="L50" s="44">
        <f t="shared" si="12"/>
        <v>0.1</v>
      </c>
      <c r="M50" s="44">
        <f t="shared" si="12"/>
        <v>0.1</v>
      </c>
      <c r="N50" s="44">
        <f t="shared" si="12"/>
        <v>0.1</v>
      </c>
      <c r="O50" s="44">
        <f t="shared" si="12"/>
        <v>0.1</v>
      </c>
      <c r="P50" s="44">
        <f t="shared" si="12"/>
        <v>0.1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outlineLevel="1" x14ac:dyDescent="0.25">
      <c r="A51" s="6" t="s">
        <v>166</v>
      </c>
      <c r="B51" s="50"/>
      <c r="C51" s="54"/>
      <c r="D51" s="44"/>
      <c r="E51" s="44"/>
      <c r="F51" s="44"/>
      <c r="G51" s="44"/>
      <c r="H51" s="44"/>
      <c r="I51" s="44">
        <f t="shared" ref="I51:P51" si="13">CHOOSE($I$10,I19,I35)</f>
        <v>0.28000000000000003</v>
      </c>
      <c r="J51" s="44">
        <f t="shared" si="13"/>
        <v>0.28000000000000003</v>
      </c>
      <c r="K51" s="44">
        <f t="shared" si="13"/>
        <v>0.28000000000000003</v>
      </c>
      <c r="L51" s="44">
        <f t="shared" si="13"/>
        <v>0.28000000000000003</v>
      </c>
      <c r="M51" s="44">
        <f t="shared" si="13"/>
        <v>0.28000000000000003</v>
      </c>
      <c r="N51" s="44">
        <f t="shared" si="13"/>
        <v>0.28000000000000003</v>
      </c>
      <c r="O51" s="44">
        <f t="shared" si="13"/>
        <v>0.28000000000000003</v>
      </c>
      <c r="P51" s="44">
        <f t="shared" si="13"/>
        <v>0.28000000000000003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outlineLevel="1" x14ac:dyDescent="0.25">
      <c r="A52" s="6" t="s">
        <v>167</v>
      </c>
      <c r="B52" s="6"/>
      <c r="C52" s="120"/>
      <c r="D52" s="6">
        <v>18</v>
      </c>
      <c r="E52" s="6">
        <v>18</v>
      </c>
      <c r="F52" s="6">
        <v>18</v>
      </c>
      <c r="G52" s="6">
        <v>18</v>
      </c>
      <c r="H52" s="6">
        <v>18</v>
      </c>
      <c r="I52" s="6">
        <f t="shared" ref="I52:P52" si="14">CHOOSE($I$10,I20,I36)</f>
        <v>18</v>
      </c>
      <c r="J52" s="6">
        <f t="shared" si="14"/>
        <v>18</v>
      </c>
      <c r="K52" s="6">
        <f t="shared" si="14"/>
        <v>18</v>
      </c>
      <c r="L52" s="6">
        <f t="shared" si="14"/>
        <v>18</v>
      </c>
      <c r="M52" s="6">
        <f t="shared" si="14"/>
        <v>18</v>
      </c>
      <c r="N52" s="6">
        <f t="shared" si="14"/>
        <v>18</v>
      </c>
      <c r="O52" s="6">
        <f t="shared" si="14"/>
        <v>18</v>
      </c>
      <c r="P52" s="6">
        <f t="shared" si="14"/>
        <v>18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outlineLevel="1" x14ac:dyDescent="0.25">
      <c r="A53" s="6" t="s">
        <v>168</v>
      </c>
      <c r="B53" s="6"/>
      <c r="C53" s="120"/>
      <c r="D53" s="6">
        <v>30</v>
      </c>
      <c r="E53" s="6">
        <v>40</v>
      </c>
      <c r="F53" s="6">
        <v>40</v>
      </c>
      <c r="G53" s="6">
        <v>50</v>
      </c>
      <c r="H53" s="6">
        <v>50</v>
      </c>
      <c r="I53" s="6">
        <f t="shared" ref="I53:P53" si="15">CHOOSE($I$10,I21,I37)</f>
        <v>80</v>
      </c>
      <c r="J53" s="6">
        <f t="shared" si="15"/>
        <v>90</v>
      </c>
      <c r="K53" s="6">
        <f t="shared" si="15"/>
        <v>100</v>
      </c>
      <c r="L53" s="6">
        <f t="shared" si="15"/>
        <v>100</v>
      </c>
      <c r="M53" s="6">
        <f t="shared" si="15"/>
        <v>100</v>
      </c>
      <c r="N53" s="6">
        <f t="shared" si="15"/>
        <v>100</v>
      </c>
      <c r="O53" s="6">
        <f t="shared" si="15"/>
        <v>80</v>
      </c>
      <c r="P53" s="6">
        <f t="shared" si="15"/>
        <v>80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outlineLevel="1" x14ac:dyDescent="0.25">
      <c r="A54" s="6" t="s">
        <v>169</v>
      </c>
      <c r="B54" s="6"/>
      <c r="C54" s="120"/>
      <c r="D54" s="6">
        <v>37</v>
      </c>
      <c r="E54" s="6">
        <v>37</v>
      </c>
      <c r="F54" s="6">
        <v>37</v>
      </c>
      <c r="G54" s="6">
        <v>37</v>
      </c>
      <c r="H54" s="6">
        <v>37</v>
      </c>
      <c r="I54" s="6">
        <f t="shared" ref="I54:P54" si="16">CHOOSE($I$10,I22,I38)</f>
        <v>37</v>
      </c>
      <c r="J54" s="6">
        <f t="shared" si="16"/>
        <v>37</v>
      </c>
      <c r="K54" s="6">
        <f t="shared" si="16"/>
        <v>37</v>
      </c>
      <c r="L54" s="6">
        <f t="shared" si="16"/>
        <v>37</v>
      </c>
      <c r="M54" s="6">
        <f t="shared" si="16"/>
        <v>37</v>
      </c>
      <c r="N54" s="6">
        <f t="shared" si="16"/>
        <v>37</v>
      </c>
      <c r="O54" s="6">
        <f t="shared" si="16"/>
        <v>37</v>
      </c>
      <c r="P54" s="6">
        <f t="shared" si="16"/>
        <v>37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outlineLevel="1" x14ac:dyDescent="0.25">
      <c r="A55" s="6" t="s">
        <v>264</v>
      </c>
      <c r="B55" s="6"/>
      <c r="C55" s="7"/>
      <c r="D55" s="19">
        <v>15000</v>
      </c>
      <c r="E55" s="19">
        <v>15000</v>
      </c>
      <c r="F55" s="19">
        <v>15000</v>
      </c>
      <c r="G55" s="19">
        <v>15000</v>
      </c>
      <c r="H55" s="19">
        <v>15000</v>
      </c>
      <c r="I55" s="6">
        <f t="shared" ref="I55:P55" si="17">CHOOSE($I$10,I23,I39)</f>
        <v>15000</v>
      </c>
      <c r="J55" s="6">
        <f t="shared" si="17"/>
        <v>15000</v>
      </c>
      <c r="K55" s="6">
        <f t="shared" si="17"/>
        <v>15000</v>
      </c>
      <c r="L55" s="6">
        <f t="shared" si="17"/>
        <v>15000</v>
      </c>
      <c r="M55" s="6">
        <f t="shared" si="17"/>
        <v>15000</v>
      </c>
      <c r="N55" s="6">
        <f t="shared" si="17"/>
        <v>15000</v>
      </c>
      <c r="O55" s="6">
        <f t="shared" si="17"/>
        <v>15000</v>
      </c>
      <c r="P55" s="6">
        <f t="shared" si="17"/>
        <v>15000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outlineLevel="1" x14ac:dyDescent="0.25">
      <c r="A56" s="6" t="s">
        <v>265</v>
      </c>
      <c r="B56" s="6"/>
      <c r="C56" s="7"/>
      <c r="D56" s="6"/>
      <c r="E56" s="6"/>
      <c r="F56" s="6"/>
      <c r="G56" s="6"/>
      <c r="H56" s="6"/>
      <c r="I56" s="6">
        <f t="shared" ref="I56:P56" si="18">CHOOSE($I$10,I24,I40)</f>
        <v>0</v>
      </c>
      <c r="J56" s="6">
        <f t="shared" si="18"/>
        <v>0</v>
      </c>
      <c r="K56" s="6">
        <f t="shared" si="18"/>
        <v>-20000</v>
      </c>
      <c r="L56" s="6">
        <f t="shared" si="18"/>
        <v>0</v>
      </c>
      <c r="M56" s="6">
        <f t="shared" si="18"/>
        <v>0</v>
      </c>
      <c r="N56" s="6">
        <f t="shared" si="18"/>
        <v>0</v>
      </c>
      <c r="O56" s="6">
        <f t="shared" si="18"/>
        <v>0</v>
      </c>
      <c r="P56" s="6">
        <f t="shared" si="18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outlineLevel="1" x14ac:dyDescent="0.25">
      <c r="A57" s="6" t="s">
        <v>170</v>
      </c>
      <c r="B57" s="6"/>
      <c r="C57" s="7"/>
      <c r="D57" s="6"/>
      <c r="E57" s="6"/>
      <c r="F57" s="6"/>
      <c r="G57" s="6"/>
      <c r="H57" s="6"/>
      <c r="I57" s="6">
        <f t="shared" ref="I57:P57" si="19">CHOOSE($I$10,I25,I41)</f>
        <v>0</v>
      </c>
      <c r="J57" s="6">
        <f t="shared" si="19"/>
        <v>0</v>
      </c>
      <c r="K57" s="6">
        <f t="shared" si="19"/>
        <v>0</v>
      </c>
      <c r="L57" s="6">
        <f t="shared" si="19"/>
        <v>0</v>
      </c>
      <c r="M57" s="6">
        <f t="shared" si="19"/>
        <v>0</v>
      </c>
      <c r="N57" s="6">
        <f t="shared" si="19"/>
        <v>0</v>
      </c>
      <c r="O57" s="6">
        <f t="shared" si="19"/>
        <v>0</v>
      </c>
      <c r="P57" s="6">
        <f t="shared" si="19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outlineLevel="1" x14ac:dyDescent="0.25">
      <c r="A58" s="6" t="s">
        <v>198</v>
      </c>
      <c r="B58" s="6"/>
      <c r="C58" s="7"/>
      <c r="D58" s="6"/>
      <c r="E58" s="6"/>
      <c r="F58" s="6"/>
      <c r="G58" s="6"/>
      <c r="H58" s="6"/>
      <c r="I58" s="6">
        <f t="shared" ref="I58:P58" si="20">CHOOSE($I$10,I26,I42)</f>
        <v>0</v>
      </c>
      <c r="J58" s="6">
        <f t="shared" si="20"/>
        <v>0</v>
      </c>
      <c r="K58" s="6">
        <f t="shared" si="20"/>
        <v>0</v>
      </c>
      <c r="L58" s="6">
        <f t="shared" si="20"/>
        <v>0</v>
      </c>
      <c r="M58" s="6">
        <f t="shared" si="20"/>
        <v>200</v>
      </c>
      <c r="N58" s="6">
        <f t="shared" si="20"/>
        <v>200</v>
      </c>
      <c r="O58" s="6">
        <f t="shared" si="20"/>
        <v>0</v>
      </c>
      <c r="P58" s="6">
        <f t="shared" si="20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outlineLevel="1" x14ac:dyDescent="0.25">
      <c r="A59" s="6"/>
      <c r="B59" s="6"/>
      <c r="C59" s="7"/>
      <c r="D59" s="6"/>
      <c r="E59" s="6"/>
      <c r="F59" s="6"/>
      <c r="G59" s="6"/>
      <c r="H59" s="6"/>
      <c r="I59" s="19"/>
      <c r="J59" s="19"/>
      <c r="K59" s="19"/>
      <c r="L59" s="19"/>
      <c r="M59" s="19"/>
      <c r="N59" s="1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x14ac:dyDescent="0.25">
      <c r="A60" s="6"/>
      <c r="B60" s="6"/>
      <c r="C60" s="7"/>
      <c r="D60" s="6"/>
      <c r="E60" s="6"/>
      <c r="F60" s="6"/>
      <c r="G60" s="6"/>
      <c r="H60" s="6"/>
      <c r="I60" s="19"/>
      <c r="J60" s="19"/>
      <c r="K60" s="19"/>
      <c r="L60" s="19"/>
      <c r="M60" s="19"/>
      <c r="N60" s="1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" x14ac:dyDescent="0.35">
      <c r="A61" s="9" t="s">
        <v>172</v>
      </c>
      <c r="B61" s="10"/>
      <c r="C61" s="1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outlineLevel="1" x14ac:dyDescent="0.25">
      <c r="A62" s="25"/>
      <c r="B62" s="25"/>
      <c r="C62" s="122"/>
      <c r="D62" s="114"/>
      <c r="E62" s="114"/>
      <c r="F62" s="114"/>
      <c r="G62" s="114"/>
      <c r="H62" s="114"/>
      <c r="I62" s="25"/>
      <c r="J62" s="25"/>
      <c r="K62" s="25"/>
      <c r="L62" s="25"/>
      <c r="M62" s="25"/>
      <c r="N62" s="2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outlineLevel="1" x14ac:dyDescent="0.25">
      <c r="A63" s="25" t="s">
        <v>173</v>
      </c>
      <c r="B63" s="25"/>
      <c r="C63" s="122"/>
      <c r="D63" s="165">
        <v>102007</v>
      </c>
      <c r="E63" s="165">
        <v>118086</v>
      </c>
      <c r="F63" s="165">
        <v>131345</v>
      </c>
      <c r="G63" s="165">
        <v>142341</v>
      </c>
      <c r="H63" s="165">
        <v>150772</v>
      </c>
      <c r="I63" s="25">
        <f t="shared" ref="I63:N63" si="21">H63*((1+I45))</f>
        <v>165849.20000000001</v>
      </c>
      <c r="J63" s="25">
        <f t="shared" si="21"/>
        <v>182434.12000000002</v>
      </c>
      <c r="K63" s="25">
        <f t="shared" si="21"/>
        <v>200677.53200000004</v>
      </c>
      <c r="L63" s="25">
        <f t="shared" si="21"/>
        <v>218738.50988000006</v>
      </c>
      <c r="M63" s="25">
        <f t="shared" si="21"/>
        <v>236237.59067040007</v>
      </c>
      <c r="N63" s="25">
        <f t="shared" si="21"/>
        <v>252774.22201732808</v>
      </c>
      <c r="O63" s="162">
        <f t="shared" ref="O63:O64" si="22">+I63*O$6</f>
        <v>82924.600000000006</v>
      </c>
      <c r="P63" s="162">
        <f t="shared" ref="P63:P64" si="23">+I63-O63</f>
        <v>82924.600000000006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outlineLevel="1" x14ac:dyDescent="0.25">
      <c r="A64" s="6" t="s">
        <v>174</v>
      </c>
      <c r="B64" s="6"/>
      <c r="C64" s="7"/>
      <c r="D64" s="19">
        <f>'[1]Acquirer statements'!$C$6</f>
        <v>39023</v>
      </c>
      <c r="E64" s="19">
        <f>'[1]Acquirer statements'!$D$6</f>
        <v>48004</v>
      </c>
      <c r="F64" s="19">
        <f>'[1]Acquirer statements'!$E$6</f>
        <v>49123</v>
      </c>
      <c r="G64" s="19">
        <f>'[1]Acquirer statements'!$F$6</f>
        <v>52654</v>
      </c>
      <c r="H64" s="19">
        <f>'[1]Acquirer statements'!$G$6</f>
        <v>56710</v>
      </c>
      <c r="I64" s="124">
        <f t="shared" ref="I64:N64" si="24">I63*(I46)</f>
        <v>69656.664000000004</v>
      </c>
      <c r="J64" s="124">
        <f t="shared" si="24"/>
        <v>78446.671600000016</v>
      </c>
      <c r="K64" s="124">
        <f t="shared" si="24"/>
        <v>88298.114080000014</v>
      </c>
      <c r="L64" s="124">
        <f t="shared" si="24"/>
        <v>98432.329446000032</v>
      </c>
      <c r="M64" s="124">
        <f t="shared" si="24"/>
        <v>108669.29170838403</v>
      </c>
      <c r="N64" s="124">
        <f t="shared" si="24"/>
        <v>116276.14212797092</v>
      </c>
      <c r="O64" s="130">
        <f t="shared" si="22"/>
        <v>34828.332000000002</v>
      </c>
      <c r="P64" s="130">
        <f t="shared" si="23"/>
        <v>34828.332000000002</v>
      </c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outlineLevel="1" x14ac:dyDescent="0.25">
      <c r="A65" s="35" t="s">
        <v>175</v>
      </c>
      <c r="B65" s="35"/>
      <c r="C65" s="49"/>
      <c r="D65" s="35">
        <f>D63-D64</f>
        <v>62984</v>
      </c>
      <c r="E65" s="35">
        <f t="shared" ref="E65:P65" si="25">E63-E64</f>
        <v>70082</v>
      </c>
      <c r="F65" s="35">
        <f t="shared" si="25"/>
        <v>82222</v>
      </c>
      <c r="G65" s="35">
        <f t="shared" si="25"/>
        <v>89687</v>
      </c>
      <c r="H65" s="35">
        <f t="shared" si="25"/>
        <v>94062</v>
      </c>
      <c r="I65" s="35">
        <f t="shared" si="25"/>
        <v>96192.536000000007</v>
      </c>
      <c r="J65" s="35">
        <f t="shared" si="25"/>
        <v>103987.44840000001</v>
      </c>
      <c r="K65" s="35">
        <f t="shared" si="25"/>
        <v>112379.41792000002</v>
      </c>
      <c r="L65" s="35">
        <f t="shared" si="25"/>
        <v>120306.18043400002</v>
      </c>
      <c r="M65" s="35">
        <f t="shared" si="25"/>
        <v>127568.29896201604</v>
      </c>
      <c r="N65" s="35">
        <f t="shared" si="25"/>
        <v>136498.07988935715</v>
      </c>
      <c r="O65" s="35">
        <f t="shared" si="25"/>
        <v>48096.268000000004</v>
      </c>
      <c r="P65" s="35">
        <f t="shared" si="25"/>
        <v>48096.268000000004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outlineLevel="1" x14ac:dyDescent="0.25">
      <c r="A66" s="25" t="s">
        <v>176</v>
      </c>
      <c r="B66" s="25"/>
      <c r="C66" s="122"/>
      <c r="D66" s="123"/>
      <c r="E66" s="123"/>
      <c r="F66" s="123"/>
      <c r="G66" s="123"/>
      <c r="H66" s="123"/>
      <c r="I66" s="123"/>
      <c r="J66" s="123"/>
      <c r="K66" s="123"/>
      <c r="L66" s="25"/>
      <c r="M66" s="25"/>
      <c r="N66" s="2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outlineLevel="1" x14ac:dyDescent="0.25">
      <c r="A67" s="6" t="s">
        <v>177</v>
      </c>
      <c r="B67" s="6"/>
      <c r="C67" s="7"/>
      <c r="D67" s="166">
        <v>26427</v>
      </c>
      <c r="E67" s="166">
        <v>22658</v>
      </c>
      <c r="F67" s="166">
        <v>23872</v>
      </c>
      <c r="G67" s="166">
        <v>23002</v>
      </c>
      <c r="H67" s="166">
        <v>25245</v>
      </c>
      <c r="I67" s="6">
        <f t="shared" ref="I67:N67" si="26">I63*I47</f>
        <v>28194.364000000005</v>
      </c>
      <c r="J67" s="6">
        <f t="shared" si="26"/>
        <v>31013.800400000007</v>
      </c>
      <c r="K67" s="6">
        <f t="shared" si="26"/>
        <v>34115.180440000011</v>
      </c>
      <c r="L67" s="6">
        <f t="shared" si="26"/>
        <v>37185.546679600011</v>
      </c>
      <c r="M67" s="6">
        <f t="shared" si="26"/>
        <v>40160.390413968016</v>
      </c>
      <c r="N67" s="6">
        <f t="shared" si="26"/>
        <v>42971.617742945775</v>
      </c>
      <c r="O67" s="6">
        <f t="shared" ref="O67:O70" si="27">+I67*O$6</f>
        <v>14097.182000000003</v>
      </c>
      <c r="P67" s="6">
        <f t="shared" ref="P67:P70" si="28">+I67-O67</f>
        <v>14097.182000000003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outlineLevel="1" x14ac:dyDescent="0.25">
      <c r="A68" s="6" t="s">
        <v>178</v>
      </c>
      <c r="B68" s="6"/>
      <c r="C68" s="7"/>
      <c r="D68" s="166">
        <v>10963</v>
      </c>
      <c r="E68" s="166">
        <v>10125</v>
      </c>
      <c r="F68" s="166">
        <v>10087</v>
      </c>
      <c r="G68" s="166">
        <v>11020</v>
      </c>
      <c r="H68" s="166">
        <v>11412</v>
      </c>
      <c r="I68" s="6">
        <f t="shared" ref="I68:N68" si="29">I48</f>
        <v>15000</v>
      </c>
      <c r="J68" s="6">
        <f t="shared" si="29"/>
        <v>15000</v>
      </c>
      <c r="K68" s="6">
        <f t="shared" si="29"/>
        <v>15000</v>
      </c>
      <c r="L68" s="6">
        <f t="shared" si="29"/>
        <v>15000</v>
      </c>
      <c r="M68" s="6">
        <f t="shared" si="29"/>
        <v>15000</v>
      </c>
      <c r="N68" s="6">
        <f t="shared" si="29"/>
        <v>15000</v>
      </c>
      <c r="O68" s="6">
        <f t="shared" si="27"/>
        <v>7500</v>
      </c>
      <c r="P68" s="6">
        <f t="shared" si="28"/>
        <v>7500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outlineLevel="1" x14ac:dyDescent="0.25">
      <c r="A69" s="6" t="s">
        <v>179</v>
      </c>
      <c r="B69" s="6"/>
      <c r="C69" s="7"/>
      <c r="D69" s="166">
        <v>19500</v>
      </c>
      <c r="E69" s="166">
        <v>18150</v>
      </c>
      <c r="F69" s="166">
        <v>17205</v>
      </c>
      <c r="G69" s="166">
        <v>16543.5</v>
      </c>
      <c r="H69" s="166">
        <v>16080.449999999999</v>
      </c>
      <c r="I69" s="6">
        <f t="shared" ref="I69:N69" si="30">+I141</f>
        <v>7504.2100000000009</v>
      </c>
      <c r="J69" s="6">
        <f t="shared" si="30"/>
        <v>9003.3680000000004</v>
      </c>
      <c r="K69" s="6">
        <f t="shared" si="30"/>
        <v>10202.6944</v>
      </c>
      <c r="L69" s="6">
        <f t="shared" si="30"/>
        <v>11162.155520000002</v>
      </c>
      <c r="M69" s="6">
        <f t="shared" si="30"/>
        <v>11929.724416000001</v>
      </c>
      <c r="N69" s="6">
        <f t="shared" si="30"/>
        <v>12543.779532800001</v>
      </c>
      <c r="O69" s="6">
        <f t="shared" si="27"/>
        <v>3752.1050000000005</v>
      </c>
      <c r="P69" s="6">
        <f t="shared" si="28"/>
        <v>3752.1050000000005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outlineLevel="1" x14ac:dyDescent="0.25">
      <c r="A70" s="20" t="s">
        <v>180</v>
      </c>
      <c r="B70" s="20"/>
      <c r="C70" s="21"/>
      <c r="D70" s="166">
        <v>2500</v>
      </c>
      <c r="E70" s="166">
        <v>2500</v>
      </c>
      <c r="F70" s="166">
        <v>1500</v>
      </c>
      <c r="G70" s="166">
        <v>1500</v>
      </c>
      <c r="H70" s="166">
        <v>1500</v>
      </c>
      <c r="I70" s="20">
        <f t="shared" ref="I70:N70" si="31">I148</f>
        <v>3000</v>
      </c>
      <c r="J70" s="20">
        <f t="shared" si="31"/>
        <v>3000</v>
      </c>
      <c r="K70" s="20">
        <f t="shared" si="31"/>
        <v>1000</v>
      </c>
      <c r="L70" s="20">
        <f t="shared" si="31"/>
        <v>1000</v>
      </c>
      <c r="M70" s="20">
        <f t="shared" si="31"/>
        <v>1000</v>
      </c>
      <c r="N70" s="20">
        <f t="shared" si="31"/>
        <v>1000</v>
      </c>
      <c r="O70" s="20">
        <f t="shared" si="27"/>
        <v>1500</v>
      </c>
      <c r="P70" s="20">
        <f t="shared" si="28"/>
        <v>1500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outlineLevel="1" x14ac:dyDescent="0.25">
      <c r="A71" s="25" t="s">
        <v>181</v>
      </c>
      <c r="B71" s="6"/>
      <c r="C71" s="7"/>
      <c r="D71" s="25">
        <f t="shared" ref="D71:P71" si="32">SUM(D67:D70)</f>
        <v>59390</v>
      </c>
      <c r="E71" s="25">
        <f t="shared" si="32"/>
        <v>53433</v>
      </c>
      <c r="F71" s="25">
        <f t="shared" si="32"/>
        <v>52664</v>
      </c>
      <c r="G71" s="25">
        <f t="shared" si="32"/>
        <v>52065.5</v>
      </c>
      <c r="H71" s="25">
        <f t="shared" si="32"/>
        <v>54237.45</v>
      </c>
      <c r="I71" s="25">
        <f t="shared" si="32"/>
        <v>53698.574000000001</v>
      </c>
      <c r="J71" s="25">
        <f t="shared" si="32"/>
        <v>58017.16840000001</v>
      </c>
      <c r="K71" s="25">
        <f t="shared" si="32"/>
        <v>60317.874840000011</v>
      </c>
      <c r="L71" s="25">
        <f t="shared" si="32"/>
        <v>64347.702199600011</v>
      </c>
      <c r="M71" s="25">
        <f t="shared" si="32"/>
        <v>68090.114829968021</v>
      </c>
      <c r="N71" s="25">
        <f t="shared" si="32"/>
        <v>71515.397275745781</v>
      </c>
      <c r="O71" s="25">
        <f t="shared" si="32"/>
        <v>26849.287</v>
      </c>
      <c r="P71" s="25">
        <f t="shared" si="32"/>
        <v>26849.287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outlineLevel="1" x14ac:dyDescent="0.25">
      <c r="A72" s="35" t="s">
        <v>182</v>
      </c>
      <c r="B72" s="35"/>
      <c r="C72" s="49"/>
      <c r="D72" s="35">
        <f t="shared" ref="D72:P72" si="33">D65-D71</f>
        <v>3594</v>
      </c>
      <c r="E72" s="35">
        <f t="shared" si="33"/>
        <v>16649</v>
      </c>
      <c r="F72" s="35">
        <f t="shared" si="33"/>
        <v>29558</v>
      </c>
      <c r="G72" s="35">
        <f t="shared" si="33"/>
        <v>37621.5</v>
      </c>
      <c r="H72" s="35">
        <f t="shared" si="33"/>
        <v>39824.550000000003</v>
      </c>
      <c r="I72" s="35">
        <f t="shared" si="33"/>
        <v>42493.962000000007</v>
      </c>
      <c r="J72" s="35">
        <f t="shared" si="33"/>
        <v>45970.28</v>
      </c>
      <c r="K72" s="35">
        <f t="shared" si="33"/>
        <v>52061.54308000001</v>
      </c>
      <c r="L72" s="35">
        <f t="shared" si="33"/>
        <v>55958.478234400012</v>
      </c>
      <c r="M72" s="35">
        <f t="shared" si="33"/>
        <v>59478.184132048016</v>
      </c>
      <c r="N72" s="35">
        <f t="shared" si="33"/>
        <v>64982.682613611367</v>
      </c>
      <c r="O72" s="35">
        <f t="shared" si="33"/>
        <v>21246.981000000003</v>
      </c>
      <c r="P72" s="35">
        <f t="shared" si="33"/>
        <v>21246.981000000003</v>
      </c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outlineLevel="1" x14ac:dyDescent="0.25">
      <c r="A73" s="25"/>
      <c r="B73" s="25"/>
      <c r="C73" s="122"/>
      <c r="D73" s="114"/>
      <c r="E73" s="114"/>
      <c r="F73" s="114"/>
      <c r="G73" s="114"/>
      <c r="H73" s="114"/>
      <c r="I73" s="25"/>
      <c r="J73" s="25"/>
      <c r="K73" s="25"/>
      <c r="L73" s="25"/>
      <c r="M73" s="25"/>
      <c r="N73" s="2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outlineLevel="1" x14ac:dyDescent="0.25">
      <c r="A74" s="6" t="s">
        <v>183</v>
      </c>
      <c r="B74" s="6"/>
      <c r="C74" s="7"/>
      <c r="D74" s="166">
        <v>1120.1708000000001</v>
      </c>
      <c r="E74" s="166">
        <v>4858.2165021220308</v>
      </c>
      <c r="F74" s="166">
        <v>8482.8061148686775</v>
      </c>
      <c r="G74" s="166">
        <v>10908.02097640469</v>
      </c>
      <c r="H74" s="166">
        <v>11597.665241419718</v>
      </c>
      <c r="I74" s="124">
        <f t="shared" ref="I74:N74" si="34">IF(I72&gt;0,I72*I51,0)</f>
        <v>11898.309360000003</v>
      </c>
      <c r="J74" s="124">
        <f t="shared" si="34"/>
        <v>12871.678400000001</v>
      </c>
      <c r="K74" s="124">
        <f t="shared" si="34"/>
        <v>14577.232062400004</v>
      </c>
      <c r="L74" s="124">
        <f t="shared" si="34"/>
        <v>15668.373905632005</v>
      </c>
      <c r="M74" s="124">
        <f t="shared" si="34"/>
        <v>16653.891556973445</v>
      </c>
      <c r="N74" s="124">
        <f t="shared" si="34"/>
        <v>18195.151131811184</v>
      </c>
      <c r="O74" s="124">
        <f>+I74*O$6</f>
        <v>5949.1546800000015</v>
      </c>
      <c r="P74" s="124">
        <f>+I74-O74</f>
        <v>5949.1546800000015</v>
      </c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outlineLevel="1" x14ac:dyDescent="0.25">
      <c r="A75" s="61" t="s">
        <v>184</v>
      </c>
      <c r="B75" s="61"/>
      <c r="C75" s="125"/>
      <c r="D75" s="61">
        <f t="shared" ref="D75:P75" si="35">D72-D74</f>
        <v>2473.8292000000001</v>
      </c>
      <c r="E75" s="61">
        <f t="shared" si="35"/>
        <v>11790.783497877968</v>
      </c>
      <c r="F75" s="61">
        <f t="shared" si="35"/>
        <v>21075.193885131324</v>
      </c>
      <c r="G75" s="61">
        <f t="shared" si="35"/>
        <v>26713.479023595311</v>
      </c>
      <c r="H75" s="61">
        <f t="shared" si="35"/>
        <v>28226.884758580287</v>
      </c>
      <c r="I75" s="61">
        <f t="shared" si="35"/>
        <v>30595.652640000004</v>
      </c>
      <c r="J75" s="61">
        <f t="shared" si="35"/>
        <v>33098.601599999995</v>
      </c>
      <c r="K75" s="61">
        <f t="shared" si="35"/>
        <v>37484.311017600005</v>
      </c>
      <c r="L75" s="61">
        <f t="shared" si="35"/>
        <v>40290.104328768008</v>
      </c>
      <c r="M75" s="61">
        <f t="shared" si="35"/>
        <v>42824.292575074571</v>
      </c>
      <c r="N75" s="61">
        <f t="shared" si="35"/>
        <v>46787.531481800179</v>
      </c>
      <c r="O75" s="61">
        <f t="shared" si="35"/>
        <v>15297.826320000002</v>
      </c>
      <c r="P75" s="61">
        <f t="shared" si="35"/>
        <v>15297.826320000002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outlineLevel="1" x14ac:dyDescent="0.25">
      <c r="A76" s="6"/>
      <c r="B76" s="6"/>
      <c r="C76" s="7"/>
      <c r="D76" s="19"/>
      <c r="E76" s="19"/>
      <c r="F76" s="19"/>
      <c r="G76" s="19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x14ac:dyDescent="0.25">
      <c r="A77" s="6"/>
      <c r="B77" s="6"/>
      <c r="C77" s="7"/>
      <c r="D77" s="19"/>
      <c r="E77" s="19"/>
      <c r="F77" s="19"/>
      <c r="G77" s="19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x14ac:dyDescent="0.35">
      <c r="A78" s="9" t="s">
        <v>185</v>
      </c>
      <c r="B78" s="10"/>
      <c r="C78" s="1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outlineLevel="1" x14ac:dyDescent="0.25">
      <c r="A79" s="6"/>
      <c r="B79" s="6"/>
      <c r="C79" s="7"/>
      <c r="D79" s="19"/>
      <c r="E79" s="19"/>
      <c r="F79" s="19"/>
      <c r="G79" s="19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outlineLevel="1" x14ac:dyDescent="0.25">
      <c r="A80" s="25" t="s">
        <v>97</v>
      </c>
      <c r="B80" s="6"/>
      <c r="C80" s="7"/>
      <c r="D80" s="19"/>
      <c r="E80" s="19"/>
      <c r="F80" s="19"/>
      <c r="G80" s="19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outlineLevel="1" x14ac:dyDescent="0.25">
      <c r="A81" s="6" t="s">
        <v>52</v>
      </c>
      <c r="B81" s="6"/>
      <c r="C81" s="126"/>
      <c r="D81" s="6">
        <f>'[1]Acquirer statements'!$C$23</f>
        <v>67971.179199999999</v>
      </c>
      <c r="E81" s="6">
        <f>'[1]Acquirer statements'!$D$23</f>
        <v>81209.912697877982</v>
      </c>
      <c r="F81" s="6">
        <f>'[1]Acquirer statements'!$E$23</f>
        <v>83715.256583009294</v>
      </c>
      <c r="G81" s="6">
        <f>'[1]Acquirer statements'!$F$23</f>
        <v>111069.33560660461</v>
      </c>
      <c r="H81" s="6">
        <f>'[1]Acquirer statements'!$G$23</f>
        <v>139549.5203651849</v>
      </c>
      <c r="I81" s="6">
        <f t="shared" ref="I81:O81" si="36">I125</f>
        <v>159473.99080792462</v>
      </c>
      <c r="J81" s="6">
        <f t="shared" si="36"/>
        <v>182573.31492080132</v>
      </c>
      <c r="K81" s="6">
        <f t="shared" si="36"/>
        <v>190511.03538431914</v>
      </c>
      <c r="L81" s="6">
        <f t="shared" si="36"/>
        <v>224399.31641543814</v>
      </c>
      <c r="M81" s="6">
        <f t="shared" si="36"/>
        <v>261247.54442510585</v>
      </c>
      <c r="N81" s="6">
        <f t="shared" si="36"/>
        <v>303250.38710907951</v>
      </c>
      <c r="O81" s="6">
        <f t="shared" si="36"/>
        <v>147788.27225977054</v>
      </c>
      <c r="P81" s="6">
        <f t="shared" ref="P81:P83" si="37">+I81</f>
        <v>159473.99080792462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outlineLevel="1" x14ac:dyDescent="0.25">
      <c r="A82" s="6" t="s">
        <v>98</v>
      </c>
      <c r="B82" s="6"/>
      <c r="C82" s="126"/>
      <c r="D82" s="167">
        <f>'[1]Acquirer statements'!$C$24</f>
        <v>5100.3500000000004</v>
      </c>
      <c r="E82" s="167">
        <f>'[1]Acquirer statements'!$D$24</f>
        <v>5904.3</v>
      </c>
      <c r="F82" s="167">
        <f>'[1]Acquirer statements'!$E$24</f>
        <v>6567.25</v>
      </c>
      <c r="G82" s="167">
        <f>'[1]Acquirer statements'!$F$24</f>
        <v>7117.05</v>
      </c>
      <c r="H82" s="167">
        <f>'[1]Acquirer statements'!$G$24</f>
        <v>7538.6</v>
      </c>
      <c r="I82" s="127">
        <f t="shared" ref="I82:O82" si="38">I63*I52/I5</f>
        <v>8178.8646575342473</v>
      </c>
      <c r="J82" s="127">
        <f t="shared" si="38"/>
        <v>8996.7511232876732</v>
      </c>
      <c r="K82" s="127">
        <f t="shared" si="38"/>
        <v>9896.42623561644</v>
      </c>
      <c r="L82" s="127">
        <f t="shared" si="38"/>
        <v>10757.631633442625</v>
      </c>
      <c r="M82" s="127">
        <f t="shared" si="38"/>
        <v>11650.072964567677</v>
      </c>
      <c r="N82" s="127">
        <f t="shared" si="38"/>
        <v>12465.578072087414</v>
      </c>
      <c r="O82" s="127">
        <f t="shared" si="38"/>
        <v>8246.6453038674044</v>
      </c>
      <c r="P82" s="6">
        <f t="shared" si="37"/>
        <v>8178.8646575342473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outlineLevel="1" x14ac:dyDescent="0.25">
      <c r="A83" s="6" t="s">
        <v>99</v>
      </c>
      <c r="B83" s="6"/>
      <c r="C83" s="126"/>
      <c r="D83" s="167">
        <f>'[1]Acquirer statements'!$C$25</f>
        <v>7804.6</v>
      </c>
      <c r="E83" s="167">
        <f>'[1]Acquirer statements'!$D$25</f>
        <v>9600.8000000000011</v>
      </c>
      <c r="F83" s="167">
        <f>'[1]Acquirer statements'!$E$25</f>
        <v>9824.6</v>
      </c>
      <c r="G83" s="167">
        <f>'[1]Acquirer statements'!$F$25</f>
        <v>10530.800000000001</v>
      </c>
      <c r="H83" s="167">
        <f>'[1]Acquirer statements'!$G$25</f>
        <v>11342</v>
      </c>
      <c r="I83" s="124">
        <f t="shared" ref="I83:O83" si="39">I64*I53/I5</f>
        <v>15267.21402739726</v>
      </c>
      <c r="J83" s="124">
        <f t="shared" si="39"/>
        <v>19343.014915068496</v>
      </c>
      <c r="K83" s="124">
        <f t="shared" si="39"/>
        <v>24191.264131506854</v>
      </c>
      <c r="L83" s="124">
        <f t="shared" si="39"/>
        <v>26894.079083606564</v>
      </c>
      <c r="M83" s="124">
        <f t="shared" si="39"/>
        <v>29772.408687228501</v>
      </c>
      <c r="N83" s="124">
        <f t="shared" si="39"/>
        <v>31856.477295334498</v>
      </c>
      <c r="O83" s="124">
        <f t="shared" si="39"/>
        <v>15393.737900552487</v>
      </c>
      <c r="P83" s="6">
        <f t="shared" si="37"/>
        <v>15267.21402739726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outlineLevel="1" x14ac:dyDescent="0.25">
      <c r="A84" s="128" t="s">
        <v>100</v>
      </c>
      <c r="B84" s="26"/>
      <c r="C84" s="129"/>
      <c r="D84" s="35">
        <f t="shared" ref="D84:P84" si="40">SUM(D81:D83)</f>
        <v>80876.12920000001</v>
      </c>
      <c r="E84" s="35">
        <f t="shared" si="40"/>
        <v>96715.012697877988</v>
      </c>
      <c r="F84" s="35">
        <f t="shared" si="40"/>
        <v>100107.1065830093</v>
      </c>
      <c r="G84" s="35">
        <f t="shared" si="40"/>
        <v>128717.18560660462</v>
      </c>
      <c r="H84" s="35">
        <f t="shared" si="40"/>
        <v>158430.12036518491</v>
      </c>
      <c r="I84" s="35">
        <f t="shared" si="40"/>
        <v>182920.06949285613</v>
      </c>
      <c r="J84" s="35">
        <f t="shared" si="40"/>
        <v>210913.08095915749</v>
      </c>
      <c r="K84" s="35">
        <f t="shared" si="40"/>
        <v>224598.72575144243</v>
      </c>
      <c r="L84" s="35">
        <f t="shared" si="40"/>
        <v>262051.02713248733</v>
      </c>
      <c r="M84" s="35">
        <f t="shared" si="40"/>
        <v>302670.02607690205</v>
      </c>
      <c r="N84" s="35">
        <f t="shared" si="40"/>
        <v>347572.44247650146</v>
      </c>
      <c r="O84" s="35">
        <f t="shared" si="40"/>
        <v>171428.65546419044</v>
      </c>
      <c r="P84" s="35">
        <f t="shared" si="40"/>
        <v>182920.06949285613</v>
      </c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outlineLevel="1" x14ac:dyDescent="0.25">
      <c r="A85" s="6" t="s">
        <v>101</v>
      </c>
      <c r="B85" s="6"/>
      <c r="C85" s="7"/>
      <c r="D85" s="19">
        <f>D142</f>
        <v>45500</v>
      </c>
      <c r="E85" s="19">
        <f t="shared" ref="E85:H85" si="41">E142</f>
        <v>42350</v>
      </c>
      <c r="F85" s="19">
        <f t="shared" si="41"/>
        <v>40145</v>
      </c>
      <c r="G85" s="19">
        <f t="shared" si="41"/>
        <v>38601.5</v>
      </c>
      <c r="H85" s="19">
        <f t="shared" si="41"/>
        <v>37521.050000000003</v>
      </c>
      <c r="I85" s="6">
        <f t="shared" ref="I85:O85" si="42">I142</f>
        <v>45016.840000000004</v>
      </c>
      <c r="J85" s="6">
        <f t="shared" si="42"/>
        <v>51013.472000000002</v>
      </c>
      <c r="K85" s="6">
        <f t="shared" si="42"/>
        <v>55810.777600000009</v>
      </c>
      <c r="L85" s="6">
        <f t="shared" si="42"/>
        <v>59648.622080000001</v>
      </c>
      <c r="M85" s="6">
        <f t="shared" si="42"/>
        <v>62718.897664000004</v>
      </c>
      <c r="N85" s="6">
        <f t="shared" si="42"/>
        <v>65175.118131200004</v>
      </c>
      <c r="O85" s="6">
        <f t="shared" si="42"/>
        <v>41268.945</v>
      </c>
      <c r="P85" s="6">
        <f>+I85</f>
        <v>45016.840000000004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outlineLevel="1" x14ac:dyDescent="0.25">
      <c r="A86" s="6" t="s">
        <v>102</v>
      </c>
      <c r="B86" s="6"/>
      <c r="C86" s="7"/>
      <c r="D86" s="19"/>
      <c r="E86" s="19"/>
      <c r="F86" s="19"/>
      <c r="G86" s="19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outlineLevel="1" x14ac:dyDescent="0.25">
      <c r="A87" s="61" t="s">
        <v>103</v>
      </c>
      <c r="B87" s="61"/>
      <c r="C87" s="125"/>
      <c r="D87" s="61">
        <f t="shared" ref="D87:P87" si="43">SUM(D84:D86)</f>
        <v>126376.12920000001</v>
      </c>
      <c r="E87" s="61">
        <f t="shared" si="43"/>
        <v>139065.012697878</v>
      </c>
      <c r="F87" s="61">
        <f t="shared" si="43"/>
        <v>140252.1065830093</v>
      </c>
      <c r="G87" s="61">
        <f t="shared" si="43"/>
        <v>167318.68560660462</v>
      </c>
      <c r="H87" s="61">
        <f t="shared" si="43"/>
        <v>195951.17036518489</v>
      </c>
      <c r="I87" s="61">
        <f t="shared" si="43"/>
        <v>227936.90949285612</v>
      </c>
      <c r="J87" s="61">
        <f t="shared" si="43"/>
        <v>261926.5529591575</v>
      </c>
      <c r="K87" s="61">
        <f t="shared" si="43"/>
        <v>280409.50335144246</v>
      </c>
      <c r="L87" s="61">
        <f t="shared" si="43"/>
        <v>321699.64921248733</v>
      </c>
      <c r="M87" s="61">
        <f t="shared" si="43"/>
        <v>365388.92374090204</v>
      </c>
      <c r="N87" s="61">
        <f t="shared" si="43"/>
        <v>412747.56060770148</v>
      </c>
      <c r="O87" s="61">
        <f t="shared" si="43"/>
        <v>212697.60046419044</v>
      </c>
      <c r="P87" s="61">
        <f t="shared" si="43"/>
        <v>227936.90949285612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outlineLevel="1" x14ac:dyDescent="0.25">
      <c r="A88" s="25"/>
      <c r="B88" s="25"/>
      <c r="C88" s="122"/>
      <c r="D88" s="114"/>
      <c r="E88" s="114"/>
      <c r="F88" s="114"/>
      <c r="G88" s="114"/>
      <c r="H88" s="114"/>
      <c r="I88" s="25"/>
      <c r="J88" s="25"/>
      <c r="K88" s="25"/>
      <c r="L88" s="25"/>
      <c r="M88" s="25"/>
      <c r="N88" s="25"/>
      <c r="O88" s="25"/>
      <c r="P88" s="25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outlineLevel="1" x14ac:dyDescent="0.25">
      <c r="A89" s="25" t="s">
        <v>104</v>
      </c>
      <c r="B89" s="6"/>
      <c r="C89" s="126"/>
      <c r="D89" s="19"/>
      <c r="E89" s="19"/>
      <c r="F89" s="19"/>
      <c r="G89" s="19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outlineLevel="1" x14ac:dyDescent="0.25">
      <c r="A90" s="130" t="s">
        <v>105</v>
      </c>
      <c r="B90" s="6"/>
      <c r="C90" s="126"/>
      <c r="D90" s="19"/>
      <c r="E90" s="19"/>
      <c r="F90" s="19"/>
      <c r="G90" s="19"/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outlineLevel="1" x14ac:dyDescent="0.25">
      <c r="A91" s="6" t="s">
        <v>106</v>
      </c>
      <c r="B91" s="6"/>
      <c r="C91" s="126"/>
      <c r="D91" s="167">
        <f>'[1]Acquirer statements'!$C$33</f>
        <v>3902.3</v>
      </c>
      <c r="E91" s="167">
        <f>'[1]Acquirer statements'!$D$33</f>
        <v>4800.4000000000005</v>
      </c>
      <c r="F91" s="167">
        <f>'[1]Acquirer statements'!$E$33</f>
        <v>4912.3</v>
      </c>
      <c r="G91" s="167">
        <f>'[1]Acquirer statements'!$F$33</f>
        <v>5265.4000000000005</v>
      </c>
      <c r="H91" s="167">
        <f>'[1]Acquirer statements'!$G$33</f>
        <v>5671</v>
      </c>
      <c r="I91" s="124">
        <f t="shared" ref="I91:O91" si="44">I64*I54/I5</f>
        <v>7061.086487671233</v>
      </c>
      <c r="J91" s="124">
        <f t="shared" si="44"/>
        <v>7952.1283539726046</v>
      </c>
      <c r="K91" s="124">
        <f t="shared" si="44"/>
        <v>8950.7677286575363</v>
      </c>
      <c r="L91" s="124">
        <f t="shared" si="44"/>
        <v>9950.8092609344294</v>
      </c>
      <c r="M91" s="124">
        <f t="shared" si="44"/>
        <v>11015.791214274544</v>
      </c>
      <c r="N91" s="124">
        <f t="shared" si="44"/>
        <v>11786.896599273763</v>
      </c>
      <c r="O91" s="124">
        <f t="shared" si="44"/>
        <v>7119.6037790055252</v>
      </c>
      <c r="P91" s="6">
        <f>+I91</f>
        <v>7061.086487671233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outlineLevel="1" x14ac:dyDescent="0.25">
      <c r="A92" s="128" t="s">
        <v>107</v>
      </c>
      <c r="B92" s="35"/>
      <c r="C92" s="131"/>
      <c r="D92" s="35">
        <f t="shared" ref="D92:P92" si="45">SUM(D90:D91)</f>
        <v>3902.3</v>
      </c>
      <c r="E92" s="35">
        <f t="shared" si="45"/>
        <v>4800.4000000000005</v>
      </c>
      <c r="F92" s="35">
        <f t="shared" si="45"/>
        <v>4912.3</v>
      </c>
      <c r="G92" s="35">
        <f t="shared" si="45"/>
        <v>5265.4000000000005</v>
      </c>
      <c r="H92" s="35">
        <f t="shared" si="45"/>
        <v>5671</v>
      </c>
      <c r="I92" s="35">
        <f t="shared" si="45"/>
        <v>7061.086487671233</v>
      </c>
      <c r="J92" s="35">
        <f t="shared" si="45"/>
        <v>7952.1283539726046</v>
      </c>
      <c r="K92" s="35">
        <f t="shared" si="45"/>
        <v>8950.7677286575363</v>
      </c>
      <c r="L92" s="35">
        <f t="shared" si="45"/>
        <v>9950.8092609344294</v>
      </c>
      <c r="M92" s="35">
        <f t="shared" si="45"/>
        <v>11015.791214274544</v>
      </c>
      <c r="N92" s="35">
        <f t="shared" si="45"/>
        <v>11786.896599273763</v>
      </c>
      <c r="O92" s="35">
        <f t="shared" si="45"/>
        <v>7119.6037790055252</v>
      </c>
      <c r="P92" s="35">
        <f t="shared" si="45"/>
        <v>7061.086487671233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outlineLevel="1" x14ac:dyDescent="0.25">
      <c r="A93" s="6" t="s">
        <v>108</v>
      </c>
      <c r="B93" s="6"/>
      <c r="C93" s="7"/>
      <c r="D93" s="19">
        <f>'[1]Acquirer statements'!$C$35</f>
        <v>50000</v>
      </c>
      <c r="E93" s="19">
        <f>'[1]Acquirer statements'!$D$35</f>
        <v>50000</v>
      </c>
      <c r="F93" s="19">
        <f>'[1]Acquirer statements'!$E$35</f>
        <v>30000</v>
      </c>
      <c r="G93" s="19">
        <f>'[1]Acquirer statements'!$F$35</f>
        <v>30000</v>
      </c>
      <c r="H93" s="19">
        <f>'[1]Acquirer statements'!$G$35</f>
        <v>30000</v>
      </c>
      <c r="I93" s="6">
        <f t="shared" ref="I93:O93" si="46">I147</f>
        <v>30000</v>
      </c>
      <c r="J93" s="6">
        <f t="shared" si="46"/>
        <v>30000</v>
      </c>
      <c r="K93" s="6">
        <f t="shared" si="46"/>
        <v>10000</v>
      </c>
      <c r="L93" s="6">
        <f t="shared" si="46"/>
        <v>10000</v>
      </c>
      <c r="M93" s="6">
        <f t="shared" si="46"/>
        <v>10000</v>
      </c>
      <c r="N93" s="6">
        <f t="shared" si="46"/>
        <v>10000</v>
      </c>
      <c r="O93" s="6">
        <f t="shared" si="46"/>
        <v>30000</v>
      </c>
      <c r="P93" s="6">
        <f>+I93</f>
        <v>30000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outlineLevel="1" x14ac:dyDescent="0.25">
      <c r="A94" s="35" t="s">
        <v>109</v>
      </c>
      <c r="B94" s="35"/>
      <c r="C94" s="49"/>
      <c r="D94" s="35">
        <f t="shared" ref="D94:P94" si="47">SUM(D92:D93)</f>
        <v>53902.3</v>
      </c>
      <c r="E94" s="35">
        <f t="shared" si="47"/>
        <v>54800.4</v>
      </c>
      <c r="F94" s="35">
        <f t="shared" si="47"/>
        <v>34912.300000000003</v>
      </c>
      <c r="G94" s="35">
        <f t="shared" si="47"/>
        <v>35265.4</v>
      </c>
      <c r="H94" s="35">
        <f t="shared" si="47"/>
        <v>35671</v>
      </c>
      <c r="I94" s="35">
        <f t="shared" si="47"/>
        <v>37061.086487671229</v>
      </c>
      <c r="J94" s="35">
        <f t="shared" si="47"/>
        <v>37952.128353972606</v>
      </c>
      <c r="K94" s="35">
        <f t="shared" si="47"/>
        <v>18950.767728657534</v>
      </c>
      <c r="L94" s="35">
        <f t="shared" si="47"/>
        <v>19950.809260934431</v>
      </c>
      <c r="M94" s="35">
        <f t="shared" si="47"/>
        <v>21015.791214274544</v>
      </c>
      <c r="N94" s="35">
        <f t="shared" si="47"/>
        <v>21786.896599273765</v>
      </c>
      <c r="O94" s="35">
        <f t="shared" si="47"/>
        <v>37119.603779005527</v>
      </c>
      <c r="P94" s="35">
        <f t="shared" si="47"/>
        <v>37061.086487671229</v>
      </c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outlineLevel="1" x14ac:dyDescent="0.25">
      <c r="A95" s="25" t="s">
        <v>110</v>
      </c>
      <c r="B95" s="6"/>
      <c r="C95" s="7"/>
      <c r="D95" s="19"/>
      <c r="E95" s="19"/>
      <c r="F95" s="19"/>
      <c r="G95" s="19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outlineLevel="1" x14ac:dyDescent="0.25">
      <c r="A96" s="6" t="s">
        <v>111</v>
      </c>
      <c r="B96" s="6"/>
      <c r="C96" s="7"/>
      <c r="D96" s="19">
        <f>'[1]Acquirer statements'!$C$38</f>
        <v>70000</v>
      </c>
      <c r="E96" s="19">
        <f>'[1]Acquirer statements'!$D$38</f>
        <v>70000</v>
      </c>
      <c r="F96" s="19">
        <f>'[1]Acquirer statements'!$E$38</f>
        <v>70000</v>
      </c>
      <c r="G96" s="19">
        <f>'[1]Acquirer statements'!$F$38</f>
        <v>70000</v>
      </c>
      <c r="H96" s="19">
        <f>'[1]Acquirer statements'!$G$38</f>
        <v>70000</v>
      </c>
      <c r="I96" s="6">
        <f t="shared" ref="I96:N96" si="48">H96+I57</f>
        <v>70000</v>
      </c>
      <c r="J96" s="6">
        <f t="shared" si="48"/>
        <v>70000</v>
      </c>
      <c r="K96" s="6">
        <f t="shared" si="48"/>
        <v>70000</v>
      </c>
      <c r="L96" s="6">
        <f t="shared" si="48"/>
        <v>70000</v>
      </c>
      <c r="M96" s="6">
        <f t="shared" si="48"/>
        <v>70000</v>
      </c>
      <c r="N96" s="6">
        <f t="shared" si="48"/>
        <v>70000</v>
      </c>
      <c r="O96" s="6">
        <f>H96+O57</f>
        <v>70000</v>
      </c>
      <c r="P96" s="6">
        <f t="shared" ref="P96:P97" si="49">+I96</f>
        <v>70000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outlineLevel="1" x14ac:dyDescent="0.25">
      <c r="A97" s="6" t="s">
        <v>112</v>
      </c>
      <c r="B97" s="6"/>
      <c r="C97" s="7"/>
      <c r="D97" s="19">
        <f>'[1]Acquirer statements'!$C$39</f>
        <v>2473.8292000000001</v>
      </c>
      <c r="E97" s="19">
        <f>'[1]Acquirer statements'!$D$39</f>
        <v>14264.612697877968</v>
      </c>
      <c r="F97" s="19">
        <f>'[1]Acquirer statements'!$E$39</f>
        <v>35339.806583009296</v>
      </c>
      <c r="G97" s="19">
        <f>'[1]Acquirer statements'!$F$39</f>
        <v>62053.285606604608</v>
      </c>
      <c r="H97" s="19">
        <f>'[1]Acquirer statements'!$G$39</f>
        <v>90280.170365184895</v>
      </c>
      <c r="I97" s="6">
        <f t="shared" ref="I97:N97" si="50">+H97+I75-I58</f>
        <v>120875.8230051849</v>
      </c>
      <c r="J97" s="6">
        <f t="shared" si="50"/>
        <v>153974.42460518487</v>
      </c>
      <c r="K97" s="6">
        <f t="shared" si="50"/>
        <v>191458.73562278488</v>
      </c>
      <c r="L97" s="6">
        <f t="shared" si="50"/>
        <v>231748.83995155289</v>
      </c>
      <c r="M97" s="6">
        <f t="shared" si="50"/>
        <v>274373.13252662745</v>
      </c>
      <c r="N97" s="6">
        <f t="shared" si="50"/>
        <v>320960.66400842764</v>
      </c>
      <c r="O97" s="6">
        <f>+H97+O75-O58</f>
        <v>105577.9966851849</v>
      </c>
      <c r="P97" s="6">
        <f t="shared" si="49"/>
        <v>120875.8230051849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outlineLevel="1" x14ac:dyDescent="0.25">
      <c r="A98" s="64" t="s">
        <v>110</v>
      </c>
      <c r="B98" s="64"/>
      <c r="C98" s="74"/>
      <c r="D98" s="64">
        <f t="shared" ref="D98:P98" si="51">SUM(D96:D97)</f>
        <v>72473.829200000007</v>
      </c>
      <c r="E98" s="64">
        <f t="shared" si="51"/>
        <v>84264.612697877965</v>
      </c>
      <c r="F98" s="64">
        <f t="shared" si="51"/>
        <v>105339.8065830093</v>
      </c>
      <c r="G98" s="64">
        <f t="shared" si="51"/>
        <v>132053.28560660459</v>
      </c>
      <c r="H98" s="64">
        <f t="shared" si="51"/>
        <v>160280.17036518489</v>
      </c>
      <c r="I98" s="64">
        <f t="shared" si="51"/>
        <v>190875.82300518488</v>
      </c>
      <c r="J98" s="64">
        <f t="shared" si="51"/>
        <v>223974.42460518487</v>
      </c>
      <c r="K98" s="64">
        <f t="shared" si="51"/>
        <v>261458.73562278488</v>
      </c>
      <c r="L98" s="64">
        <f t="shared" si="51"/>
        <v>301748.83995155292</v>
      </c>
      <c r="M98" s="64">
        <f t="shared" si="51"/>
        <v>344373.13252662745</v>
      </c>
      <c r="N98" s="64">
        <f t="shared" si="51"/>
        <v>390960.66400842764</v>
      </c>
      <c r="O98" s="64">
        <f t="shared" si="51"/>
        <v>175577.99668518489</v>
      </c>
      <c r="P98" s="64">
        <f t="shared" si="51"/>
        <v>190875.82300518488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outlineLevel="1" x14ac:dyDescent="0.25">
      <c r="A99" s="61" t="s">
        <v>113</v>
      </c>
      <c r="B99" s="61"/>
      <c r="C99" s="125"/>
      <c r="D99" s="61">
        <f t="shared" ref="D99:H99" si="52">D94+D98</f>
        <v>126376.12920000001</v>
      </c>
      <c r="E99" s="61">
        <f t="shared" si="52"/>
        <v>139065.01269787797</v>
      </c>
      <c r="F99" s="61">
        <f t="shared" si="52"/>
        <v>140252.1065830093</v>
      </c>
      <c r="G99" s="61">
        <f t="shared" si="52"/>
        <v>167318.68560660459</v>
      </c>
      <c r="H99" s="61">
        <f t="shared" si="52"/>
        <v>195951.17036518489</v>
      </c>
      <c r="I99" s="61">
        <f t="shared" ref="I99:P99" si="53">I98+I94</f>
        <v>227936.90949285612</v>
      </c>
      <c r="J99" s="61">
        <f t="shared" si="53"/>
        <v>261926.55295915747</v>
      </c>
      <c r="K99" s="61">
        <f t="shared" si="53"/>
        <v>280409.5033514424</v>
      </c>
      <c r="L99" s="61">
        <f t="shared" si="53"/>
        <v>321699.64921248733</v>
      </c>
      <c r="M99" s="61">
        <f t="shared" si="53"/>
        <v>365388.92374090198</v>
      </c>
      <c r="N99" s="61">
        <f t="shared" si="53"/>
        <v>412747.56060770142</v>
      </c>
      <c r="O99" s="61">
        <f t="shared" si="53"/>
        <v>212697.60046419041</v>
      </c>
      <c r="P99" s="61">
        <f t="shared" si="53"/>
        <v>227936.90949285612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outlineLevel="1" x14ac:dyDescent="0.25">
      <c r="A100" s="6"/>
      <c r="B100" s="6"/>
      <c r="C100" s="7"/>
      <c r="D100" s="19"/>
      <c r="E100" s="19"/>
      <c r="F100" s="19"/>
      <c r="G100" s="19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outlineLevel="1" x14ac:dyDescent="0.25">
      <c r="A101" s="50" t="s">
        <v>114</v>
      </c>
      <c r="B101" s="132"/>
      <c r="C101" s="133"/>
      <c r="D101" s="132">
        <f t="shared" ref="D101:P101" si="54">D99-D87</f>
        <v>0</v>
      </c>
      <c r="E101" s="132">
        <f t="shared" si="54"/>
        <v>0</v>
      </c>
      <c r="F101" s="132">
        <f t="shared" si="54"/>
        <v>0</v>
      </c>
      <c r="G101" s="132">
        <f t="shared" si="54"/>
        <v>0</v>
      </c>
      <c r="H101" s="132">
        <f t="shared" si="54"/>
        <v>0</v>
      </c>
      <c r="I101" s="132">
        <f t="shared" si="54"/>
        <v>0</v>
      </c>
      <c r="J101" s="132">
        <f t="shared" si="54"/>
        <v>0</v>
      </c>
      <c r="K101" s="132">
        <f t="shared" si="54"/>
        <v>0</v>
      </c>
      <c r="L101" s="132">
        <f t="shared" si="54"/>
        <v>0</v>
      </c>
      <c r="M101" s="132">
        <f t="shared" si="54"/>
        <v>0</v>
      </c>
      <c r="N101" s="132">
        <f t="shared" si="54"/>
        <v>0</v>
      </c>
      <c r="O101" s="132">
        <f t="shared" si="54"/>
        <v>0</v>
      </c>
      <c r="P101" s="132">
        <f t="shared" si="54"/>
        <v>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outlineLevel="1" x14ac:dyDescent="0.25">
      <c r="A102" s="132"/>
      <c r="B102" s="132"/>
      <c r="C102" s="133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x14ac:dyDescent="0.25">
      <c r="A103" s="6"/>
      <c r="B103" s="6"/>
      <c r="C103" s="7"/>
      <c r="D103" s="19"/>
      <c r="E103" s="19"/>
      <c r="F103" s="19"/>
      <c r="G103" s="19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" x14ac:dyDescent="0.35">
      <c r="A104" s="9" t="s">
        <v>186</v>
      </c>
      <c r="B104" s="10"/>
      <c r="C104" s="1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outlineLevel="1" x14ac:dyDescent="0.25">
      <c r="A105" s="25"/>
      <c r="B105" s="6"/>
      <c r="C105" s="7"/>
      <c r="D105" s="114"/>
      <c r="E105" s="19"/>
      <c r="F105" s="19"/>
      <c r="G105" s="19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outlineLevel="1" x14ac:dyDescent="0.25">
      <c r="A106" s="25" t="s">
        <v>187</v>
      </c>
      <c r="B106" s="6"/>
      <c r="C106" s="7"/>
      <c r="D106" s="19"/>
      <c r="E106" s="19"/>
      <c r="F106" s="19"/>
      <c r="G106" s="19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outlineLevel="1" x14ac:dyDescent="0.25">
      <c r="A107" s="6" t="s">
        <v>184</v>
      </c>
      <c r="B107" s="6"/>
      <c r="C107" s="7"/>
      <c r="D107" s="6">
        <f t="shared" ref="D107:P107" si="55">D75</f>
        <v>2473.8292000000001</v>
      </c>
      <c r="E107" s="6">
        <f t="shared" si="55"/>
        <v>11790.783497877968</v>
      </c>
      <c r="F107" s="6">
        <f t="shared" si="55"/>
        <v>21075.193885131324</v>
      </c>
      <c r="G107" s="6">
        <f t="shared" si="55"/>
        <v>26713.479023595311</v>
      </c>
      <c r="H107" s="6">
        <f t="shared" si="55"/>
        <v>28226.884758580287</v>
      </c>
      <c r="I107" s="6">
        <f t="shared" si="55"/>
        <v>30595.652640000004</v>
      </c>
      <c r="J107" s="6">
        <f t="shared" si="55"/>
        <v>33098.601599999995</v>
      </c>
      <c r="K107" s="6">
        <f t="shared" si="55"/>
        <v>37484.311017600005</v>
      </c>
      <c r="L107" s="6">
        <f t="shared" si="55"/>
        <v>40290.104328768008</v>
      </c>
      <c r="M107" s="6">
        <f t="shared" si="55"/>
        <v>42824.292575074571</v>
      </c>
      <c r="N107" s="6">
        <f t="shared" si="55"/>
        <v>46787.531481800179</v>
      </c>
      <c r="O107" s="6">
        <f t="shared" si="55"/>
        <v>15297.826320000002</v>
      </c>
      <c r="P107" s="6">
        <f t="shared" si="55"/>
        <v>15297.826320000002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outlineLevel="1" x14ac:dyDescent="0.25">
      <c r="A108" s="6" t="s">
        <v>188</v>
      </c>
      <c r="B108" s="6"/>
      <c r="C108" s="7"/>
      <c r="D108" s="19">
        <f>D69</f>
        <v>19500</v>
      </c>
      <c r="E108" s="19">
        <f t="shared" ref="E108:H108" si="56">E69</f>
        <v>18150</v>
      </c>
      <c r="F108" s="19">
        <f t="shared" si="56"/>
        <v>17205</v>
      </c>
      <c r="G108" s="19">
        <f t="shared" si="56"/>
        <v>16543.5</v>
      </c>
      <c r="H108" s="19">
        <f t="shared" si="56"/>
        <v>16080.449999999999</v>
      </c>
      <c r="I108" s="6">
        <f t="shared" ref="I108:P108" si="57">I69</f>
        <v>7504.2100000000009</v>
      </c>
      <c r="J108" s="6">
        <f t="shared" si="57"/>
        <v>9003.3680000000004</v>
      </c>
      <c r="K108" s="6">
        <f t="shared" si="57"/>
        <v>10202.6944</v>
      </c>
      <c r="L108" s="6">
        <f t="shared" si="57"/>
        <v>11162.155520000002</v>
      </c>
      <c r="M108" s="6">
        <f t="shared" si="57"/>
        <v>11929.724416000001</v>
      </c>
      <c r="N108" s="6">
        <f t="shared" si="57"/>
        <v>12543.779532800001</v>
      </c>
      <c r="O108" s="6">
        <f t="shared" si="57"/>
        <v>3752.1050000000005</v>
      </c>
      <c r="P108" s="6">
        <f t="shared" si="57"/>
        <v>3752.1050000000005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outlineLevel="1" x14ac:dyDescent="0.25">
      <c r="A109" s="6" t="s">
        <v>189</v>
      </c>
      <c r="B109" s="6"/>
      <c r="C109" s="7"/>
      <c r="D109" s="19">
        <v>19500</v>
      </c>
      <c r="E109" s="19">
        <f t="shared" ref="E109:H109" si="58">E136</f>
        <v>1702.0499999999993</v>
      </c>
      <c r="F109" s="19">
        <f t="shared" si="58"/>
        <v>774.84999999999854</v>
      </c>
      <c r="G109" s="19">
        <f t="shared" si="58"/>
        <v>902.90000000000146</v>
      </c>
      <c r="H109" s="19">
        <f t="shared" si="58"/>
        <v>827.14999999999782</v>
      </c>
      <c r="I109" s="6">
        <f t="shared" ref="I109:P109" si="59">I136</f>
        <v>3175.3921972602766</v>
      </c>
      <c r="J109" s="6">
        <f t="shared" si="59"/>
        <v>4002.6454871232854</v>
      </c>
      <c r="K109" s="6">
        <f t="shared" si="59"/>
        <v>4749.284954082199</v>
      </c>
      <c r="L109" s="6">
        <f t="shared" si="59"/>
        <v>2563.9788176489965</v>
      </c>
      <c r="M109" s="6">
        <f t="shared" si="59"/>
        <v>2705.7889814068731</v>
      </c>
      <c r="N109" s="6">
        <f t="shared" si="59"/>
        <v>2128.4683306265179</v>
      </c>
      <c r="O109" s="6">
        <f t="shared" si="59"/>
        <v>3311.1794254143679</v>
      </c>
      <c r="P109" s="6">
        <f t="shared" si="59"/>
        <v>-135.78722815409128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outlineLevel="1" x14ac:dyDescent="0.25">
      <c r="A110" s="35" t="s">
        <v>190</v>
      </c>
      <c r="B110" s="26"/>
      <c r="C110" s="45"/>
      <c r="D110" s="35">
        <f t="shared" ref="D110:P110" si="60">D107+D108-D109</f>
        <v>2473.8292000000001</v>
      </c>
      <c r="E110" s="35">
        <f t="shared" si="60"/>
        <v>28238.733497877969</v>
      </c>
      <c r="F110" s="35">
        <f t="shared" si="60"/>
        <v>37505.343885131326</v>
      </c>
      <c r="G110" s="35">
        <f t="shared" si="60"/>
        <v>42354.07902359531</v>
      </c>
      <c r="H110" s="35">
        <f t="shared" si="60"/>
        <v>43480.18475858029</v>
      </c>
      <c r="I110" s="35">
        <f t="shared" si="60"/>
        <v>34924.47044273973</v>
      </c>
      <c r="J110" s="35">
        <f t="shared" si="60"/>
        <v>38099.324112876711</v>
      </c>
      <c r="K110" s="35">
        <f t="shared" si="60"/>
        <v>42937.720463517806</v>
      </c>
      <c r="L110" s="35">
        <f t="shared" si="60"/>
        <v>48888.281031119011</v>
      </c>
      <c r="M110" s="35">
        <f t="shared" si="60"/>
        <v>52048.228009667699</v>
      </c>
      <c r="N110" s="35">
        <f t="shared" si="60"/>
        <v>57202.842683973664</v>
      </c>
      <c r="O110" s="35">
        <f t="shared" si="60"/>
        <v>15738.751894585635</v>
      </c>
      <c r="P110" s="35">
        <f t="shared" si="60"/>
        <v>19185.718548154095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outlineLevel="1" x14ac:dyDescent="0.25">
      <c r="A111" s="25"/>
      <c r="B111" s="6"/>
      <c r="C111" s="7"/>
      <c r="D111" s="114"/>
      <c r="E111" s="114"/>
      <c r="F111" s="114"/>
      <c r="G111" s="114"/>
      <c r="H111" s="114"/>
      <c r="I111" s="25"/>
      <c r="J111" s="25"/>
      <c r="K111" s="25"/>
      <c r="L111" s="25"/>
      <c r="M111" s="25"/>
      <c r="N111" s="25"/>
      <c r="O111" s="25"/>
      <c r="P111" s="25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outlineLevel="1" x14ac:dyDescent="0.25">
      <c r="A112" s="25" t="s">
        <v>191</v>
      </c>
      <c r="B112" s="6"/>
      <c r="C112" s="7"/>
      <c r="D112" s="19"/>
      <c r="E112" s="19"/>
      <c r="F112" s="19"/>
      <c r="G112" s="19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outlineLevel="1" x14ac:dyDescent="0.25">
      <c r="A113" s="6" t="s">
        <v>192</v>
      </c>
      <c r="B113" s="6"/>
      <c r="C113" s="7"/>
      <c r="D113" s="19">
        <f>-D140</f>
        <v>-15000</v>
      </c>
      <c r="E113" s="19">
        <f t="shared" ref="E113:H113" si="61">-E140</f>
        <v>-15000</v>
      </c>
      <c r="F113" s="19">
        <f t="shared" si="61"/>
        <v>-15000</v>
      </c>
      <c r="G113" s="19">
        <f t="shared" si="61"/>
        <v>-15000</v>
      </c>
      <c r="H113" s="19">
        <f t="shared" si="61"/>
        <v>-15000</v>
      </c>
      <c r="I113" s="6">
        <f t="shared" ref="I113:P113" si="62">-I140</f>
        <v>-15000</v>
      </c>
      <c r="J113" s="6">
        <f t="shared" si="62"/>
        <v>-15000</v>
      </c>
      <c r="K113" s="6">
        <f t="shared" si="62"/>
        <v>-15000</v>
      </c>
      <c r="L113" s="6">
        <f t="shared" si="62"/>
        <v>-15000</v>
      </c>
      <c r="M113" s="6">
        <f t="shared" si="62"/>
        <v>-15000</v>
      </c>
      <c r="N113" s="6">
        <f t="shared" si="62"/>
        <v>-15000</v>
      </c>
      <c r="O113" s="6">
        <f t="shared" si="62"/>
        <v>-7500</v>
      </c>
      <c r="P113" s="6">
        <f t="shared" si="62"/>
        <v>-7500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outlineLevel="1" x14ac:dyDescent="0.25">
      <c r="A114" s="6" t="s">
        <v>193</v>
      </c>
      <c r="B114" s="6"/>
      <c r="C114" s="7"/>
      <c r="D114" s="19"/>
      <c r="E114" s="19"/>
      <c r="F114" s="19"/>
      <c r="G114" s="19"/>
      <c r="H114" s="1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outlineLevel="1" x14ac:dyDescent="0.25">
      <c r="A115" s="35" t="s">
        <v>194</v>
      </c>
      <c r="B115" s="26"/>
      <c r="C115" s="45"/>
      <c r="D115" s="35">
        <f>SUM(D113:D114)</f>
        <v>-15000</v>
      </c>
      <c r="E115" s="35">
        <f t="shared" ref="E115:P115" si="63">SUM(E113:E114)</f>
        <v>-15000</v>
      </c>
      <c r="F115" s="35">
        <f t="shared" si="63"/>
        <v>-15000</v>
      </c>
      <c r="G115" s="35">
        <f t="shared" si="63"/>
        <v>-15000</v>
      </c>
      <c r="H115" s="35">
        <f t="shared" si="63"/>
        <v>-15000</v>
      </c>
      <c r="I115" s="35">
        <f t="shared" si="63"/>
        <v>-15000</v>
      </c>
      <c r="J115" s="35">
        <f t="shared" si="63"/>
        <v>-15000</v>
      </c>
      <c r="K115" s="35">
        <f t="shared" si="63"/>
        <v>-15000</v>
      </c>
      <c r="L115" s="35">
        <f t="shared" si="63"/>
        <v>-15000</v>
      </c>
      <c r="M115" s="35">
        <f t="shared" si="63"/>
        <v>-15000</v>
      </c>
      <c r="N115" s="35">
        <f t="shared" si="63"/>
        <v>-15000</v>
      </c>
      <c r="O115" s="35">
        <f t="shared" si="63"/>
        <v>-7500</v>
      </c>
      <c r="P115" s="35">
        <f t="shared" si="63"/>
        <v>-7500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outlineLevel="1" x14ac:dyDescent="0.25">
      <c r="A116" s="25"/>
      <c r="B116" s="6"/>
      <c r="C116" s="7"/>
      <c r="D116" s="114"/>
      <c r="E116" s="114"/>
      <c r="F116" s="114"/>
      <c r="G116" s="114"/>
      <c r="H116" s="114"/>
      <c r="I116" s="25"/>
      <c r="J116" s="25"/>
      <c r="K116" s="25"/>
      <c r="L116" s="25"/>
      <c r="M116" s="25"/>
      <c r="N116" s="25"/>
      <c r="O116" s="25"/>
      <c r="P116" s="25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outlineLevel="1" x14ac:dyDescent="0.25">
      <c r="A117" s="25" t="s">
        <v>195</v>
      </c>
      <c r="B117" s="6"/>
      <c r="C117" s="7"/>
      <c r="D117" s="19"/>
      <c r="E117" s="19"/>
      <c r="F117" s="19"/>
      <c r="G117" s="19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outlineLevel="1" x14ac:dyDescent="0.25">
      <c r="A118" s="6" t="s">
        <v>196</v>
      </c>
      <c r="B118" s="6"/>
      <c r="C118" s="7"/>
      <c r="D118" s="19">
        <v>0</v>
      </c>
      <c r="E118" s="19">
        <v>0</v>
      </c>
      <c r="F118" s="19"/>
      <c r="G118" s="19">
        <v>0</v>
      </c>
      <c r="H118" s="19">
        <v>0</v>
      </c>
      <c r="I118" s="6">
        <f t="shared" ref="I118:P118" si="64">I146</f>
        <v>0</v>
      </c>
      <c r="J118" s="6">
        <f t="shared" si="64"/>
        <v>0</v>
      </c>
      <c r="K118" s="6">
        <f t="shared" si="64"/>
        <v>-20000</v>
      </c>
      <c r="L118" s="6">
        <f t="shared" si="64"/>
        <v>0</v>
      </c>
      <c r="M118" s="6">
        <f t="shared" si="64"/>
        <v>0</v>
      </c>
      <c r="N118" s="6">
        <f t="shared" si="64"/>
        <v>0</v>
      </c>
      <c r="O118" s="6">
        <f t="shared" si="64"/>
        <v>0</v>
      </c>
      <c r="P118" s="6">
        <f t="shared" si="64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outlineLevel="1" x14ac:dyDescent="0.25">
      <c r="A119" s="6" t="s">
        <v>197</v>
      </c>
      <c r="B119" s="6"/>
      <c r="C119" s="7"/>
      <c r="D119" s="19"/>
      <c r="E119" s="19">
        <v>0</v>
      </c>
      <c r="F119" s="19">
        <v>-20000</v>
      </c>
      <c r="G119" s="19">
        <v>0</v>
      </c>
      <c r="H119" s="19">
        <v>0</v>
      </c>
      <c r="I119" s="6">
        <f t="shared" ref="I119:P119" si="65">I57</f>
        <v>0</v>
      </c>
      <c r="J119" s="6">
        <f t="shared" si="65"/>
        <v>0</v>
      </c>
      <c r="K119" s="6">
        <f t="shared" si="65"/>
        <v>0</v>
      </c>
      <c r="L119" s="6">
        <f t="shared" si="65"/>
        <v>0</v>
      </c>
      <c r="M119" s="6">
        <f t="shared" si="65"/>
        <v>0</v>
      </c>
      <c r="N119" s="6">
        <f t="shared" si="65"/>
        <v>0</v>
      </c>
      <c r="O119" s="6">
        <f t="shared" si="65"/>
        <v>0</v>
      </c>
      <c r="P119" s="6">
        <f t="shared" si="65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outlineLevel="1" x14ac:dyDescent="0.25">
      <c r="A120" s="6" t="s">
        <v>198</v>
      </c>
      <c r="B120" s="6"/>
      <c r="C120" s="7"/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6">
        <f t="shared" ref="I120:P120" si="66">-I58</f>
        <v>0</v>
      </c>
      <c r="J120" s="6">
        <f t="shared" si="66"/>
        <v>0</v>
      </c>
      <c r="K120" s="6">
        <f t="shared" si="66"/>
        <v>0</v>
      </c>
      <c r="L120" s="6">
        <f t="shared" si="66"/>
        <v>0</v>
      </c>
      <c r="M120" s="6">
        <f t="shared" si="66"/>
        <v>-200</v>
      </c>
      <c r="N120" s="6">
        <f t="shared" si="66"/>
        <v>-200</v>
      </c>
      <c r="O120" s="6">
        <f t="shared" si="66"/>
        <v>0</v>
      </c>
      <c r="P120" s="6">
        <f t="shared" si="66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outlineLevel="1" x14ac:dyDescent="0.25">
      <c r="A121" s="35" t="s">
        <v>199</v>
      </c>
      <c r="B121" s="26"/>
      <c r="C121" s="45"/>
      <c r="D121" s="35">
        <f t="shared" ref="D121:P121" si="67">SUM(D118:D120)</f>
        <v>0</v>
      </c>
      <c r="E121" s="35">
        <f t="shared" si="67"/>
        <v>0</v>
      </c>
      <c r="F121" s="35">
        <f t="shared" si="67"/>
        <v>-20000</v>
      </c>
      <c r="G121" s="35">
        <f t="shared" si="67"/>
        <v>0</v>
      </c>
      <c r="H121" s="35">
        <f t="shared" si="67"/>
        <v>0</v>
      </c>
      <c r="I121" s="35">
        <f t="shared" si="67"/>
        <v>0</v>
      </c>
      <c r="J121" s="35">
        <f t="shared" si="67"/>
        <v>0</v>
      </c>
      <c r="K121" s="35">
        <f t="shared" si="67"/>
        <v>-20000</v>
      </c>
      <c r="L121" s="35">
        <f t="shared" si="67"/>
        <v>0</v>
      </c>
      <c r="M121" s="35">
        <f t="shared" si="67"/>
        <v>-200</v>
      </c>
      <c r="N121" s="35">
        <f t="shared" si="67"/>
        <v>-200</v>
      </c>
      <c r="O121" s="35">
        <f t="shared" si="67"/>
        <v>0</v>
      </c>
      <c r="P121" s="35">
        <f t="shared" si="67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outlineLevel="1" x14ac:dyDescent="0.25">
      <c r="A122" s="25"/>
      <c r="B122" s="6"/>
      <c r="C122" s="7"/>
      <c r="D122" s="114"/>
      <c r="E122" s="114"/>
      <c r="F122" s="114"/>
      <c r="G122" s="114"/>
      <c r="H122" s="114"/>
      <c r="I122" s="25"/>
      <c r="J122" s="25"/>
      <c r="K122" s="25"/>
      <c r="L122" s="25"/>
      <c r="M122" s="25"/>
      <c r="N122" s="25"/>
      <c r="O122" s="25"/>
      <c r="P122" s="25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outlineLevel="1" x14ac:dyDescent="0.25">
      <c r="A123" s="6" t="s">
        <v>200</v>
      </c>
      <c r="B123" s="6"/>
      <c r="C123" s="7"/>
      <c r="D123" s="6">
        <f t="shared" ref="D123:P123" si="68">D110+D115+D121</f>
        <v>-12526.1708</v>
      </c>
      <c r="E123" s="6">
        <f t="shared" si="68"/>
        <v>13238.733497877969</v>
      </c>
      <c r="F123" s="6">
        <f t="shared" si="68"/>
        <v>2505.3438851313258</v>
      </c>
      <c r="G123" s="6">
        <f t="shared" si="68"/>
        <v>27354.07902359531</v>
      </c>
      <c r="H123" s="6">
        <f t="shared" si="68"/>
        <v>28480.18475858029</v>
      </c>
      <c r="I123" s="6">
        <f t="shared" si="68"/>
        <v>19924.47044273973</v>
      </c>
      <c r="J123" s="6">
        <f t="shared" si="68"/>
        <v>23099.324112876711</v>
      </c>
      <c r="K123" s="6">
        <f t="shared" si="68"/>
        <v>7937.7204635178059</v>
      </c>
      <c r="L123" s="6">
        <f t="shared" si="68"/>
        <v>33888.281031119011</v>
      </c>
      <c r="M123" s="6">
        <f t="shared" si="68"/>
        <v>36848.228009667699</v>
      </c>
      <c r="N123" s="6">
        <f t="shared" si="68"/>
        <v>42002.842683973664</v>
      </c>
      <c r="O123" s="6">
        <f t="shared" si="68"/>
        <v>8238.7518945856355</v>
      </c>
      <c r="P123" s="6">
        <f t="shared" si="68"/>
        <v>11685.718548154095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outlineLevel="1" x14ac:dyDescent="0.25">
      <c r="A124" s="6" t="s">
        <v>201</v>
      </c>
      <c r="B124" s="6"/>
      <c r="C124" s="7"/>
      <c r="D124" s="19">
        <f>D81-D123</f>
        <v>80497.350000000006</v>
      </c>
      <c r="E124" s="19">
        <f t="shared" ref="E124:N124" si="69">D125</f>
        <v>67971.179200000013</v>
      </c>
      <c r="F124" s="19">
        <f t="shared" si="69"/>
        <v>81209.912697877982</v>
      </c>
      <c r="G124" s="19">
        <f t="shared" si="69"/>
        <v>83715.256583009308</v>
      </c>
      <c r="H124" s="19">
        <f t="shared" si="69"/>
        <v>111069.33560660461</v>
      </c>
      <c r="I124" s="6">
        <f t="shared" si="69"/>
        <v>139549.5203651849</v>
      </c>
      <c r="J124" s="6">
        <f t="shared" si="69"/>
        <v>159473.99080792462</v>
      </c>
      <c r="K124" s="6">
        <f t="shared" si="69"/>
        <v>182573.31492080132</v>
      </c>
      <c r="L124" s="6">
        <f t="shared" si="69"/>
        <v>190511.03538431914</v>
      </c>
      <c r="M124" s="6">
        <f t="shared" si="69"/>
        <v>224399.31641543814</v>
      </c>
      <c r="N124" s="6">
        <f t="shared" si="69"/>
        <v>261247.54442510585</v>
      </c>
      <c r="O124" s="6">
        <f>+H125</f>
        <v>139549.5203651849</v>
      </c>
      <c r="P124" s="6">
        <f>+O125</f>
        <v>147788.27225977054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outlineLevel="1" x14ac:dyDescent="0.25">
      <c r="A125" s="35" t="s">
        <v>202</v>
      </c>
      <c r="B125" s="26"/>
      <c r="C125" s="45"/>
      <c r="D125" s="35">
        <f t="shared" ref="D125:P125" si="70">SUM(D123:D124)</f>
        <v>67971.179200000013</v>
      </c>
      <c r="E125" s="35">
        <f t="shared" si="70"/>
        <v>81209.912697877982</v>
      </c>
      <c r="F125" s="35">
        <f t="shared" si="70"/>
        <v>83715.256583009308</v>
      </c>
      <c r="G125" s="35">
        <f t="shared" si="70"/>
        <v>111069.33560660461</v>
      </c>
      <c r="H125" s="35">
        <f t="shared" si="70"/>
        <v>139549.5203651849</v>
      </c>
      <c r="I125" s="35">
        <f t="shared" si="70"/>
        <v>159473.99080792462</v>
      </c>
      <c r="J125" s="35">
        <f t="shared" si="70"/>
        <v>182573.31492080132</v>
      </c>
      <c r="K125" s="35">
        <f t="shared" si="70"/>
        <v>190511.03538431914</v>
      </c>
      <c r="L125" s="35">
        <f t="shared" si="70"/>
        <v>224399.31641543814</v>
      </c>
      <c r="M125" s="35">
        <f t="shared" si="70"/>
        <v>261247.54442510585</v>
      </c>
      <c r="N125" s="35">
        <f t="shared" si="70"/>
        <v>303250.38710907951</v>
      </c>
      <c r="O125" s="35">
        <f t="shared" si="70"/>
        <v>147788.27225977054</v>
      </c>
      <c r="P125" s="35">
        <f t="shared" si="70"/>
        <v>159473.99080792465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outlineLevel="1" x14ac:dyDescent="0.25">
      <c r="A126" s="25"/>
      <c r="B126" s="6"/>
      <c r="C126" s="7"/>
      <c r="D126" s="114"/>
      <c r="E126" s="19"/>
      <c r="F126" s="19"/>
      <c r="G126" s="19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outlineLevel="1" x14ac:dyDescent="0.25">
      <c r="A127" s="25"/>
      <c r="B127" s="6"/>
      <c r="C127" s="7"/>
      <c r="D127" s="114"/>
      <c r="E127" s="19"/>
      <c r="F127" s="19"/>
      <c r="G127" s="19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x14ac:dyDescent="0.25">
      <c r="A128" s="6"/>
      <c r="B128" s="6"/>
      <c r="C128" s="7"/>
      <c r="D128" s="19"/>
      <c r="E128" s="19"/>
      <c r="F128" s="19"/>
      <c r="G128" s="19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" x14ac:dyDescent="0.35">
      <c r="A129" s="9" t="s">
        <v>203</v>
      </c>
      <c r="B129" s="10"/>
      <c r="C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outlineLevel="1" x14ac:dyDescent="0.25">
      <c r="A130" s="6"/>
      <c r="B130" s="6"/>
      <c r="C130" s="7"/>
      <c r="D130" s="19"/>
      <c r="E130" s="19"/>
      <c r="F130" s="19"/>
      <c r="G130" s="19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outlineLevel="1" x14ac:dyDescent="0.25">
      <c r="A131" s="25" t="s">
        <v>204</v>
      </c>
      <c r="B131" s="6"/>
      <c r="C131" s="7"/>
      <c r="D131" s="19"/>
      <c r="E131" s="19"/>
      <c r="F131" s="19"/>
      <c r="G131" s="19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outlineLevel="1" x14ac:dyDescent="0.25">
      <c r="A132" s="6" t="s">
        <v>98</v>
      </c>
      <c r="B132" s="6"/>
      <c r="C132" s="7"/>
      <c r="D132" s="6">
        <f t="shared" ref="D132:P132" si="71">D82</f>
        <v>5100.3500000000004</v>
      </c>
      <c r="E132" s="6">
        <f t="shared" si="71"/>
        <v>5904.3</v>
      </c>
      <c r="F132" s="6">
        <f t="shared" si="71"/>
        <v>6567.25</v>
      </c>
      <c r="G132" s="6">
        <f t="shared" si="71"/>
        <v>7117.05</v>
      </c>
      <c r="H132" s="6">
        <f t="shared" si="71"/>
        <v>7538.6</v>
      </c>
      <c r="I132" s="6">
        <f t="shared" si="71"/>
        <v>8178.8646575342473</v>
      </c>
      <c r="J132" s="6">
        <f t="shared" si="71"/>
        <v>8996.7511232876732</v>
      </c>
      <c r="K132" s="6">
        <f t="shared" si="71"/>
        <v>9896.42623561644</v>
      </c>
      <c r="L132" s="6">
        <f t="shared" si="71"/>
        <v>10757.631633442625</v>
      </c>
      <c r="M132" s="6">
        <f t="shared" si="71"/>
        <v>11650.072964567677</v>
      </c>
      <c r="N132" s="6">
        <f t="shared" si="71"/>
        <v>12465.578072087414</v>
      </c>
      <c r="O132" s="6">
        <f t="shared" si="71"/>
        <v>8246.6453038674044</v>
      </c>
      <c r="P132" s="6">
        <f t="shared" si="71"/>
        <v>8178.8646575342473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outlineLevel="1" x14ac:dyDescent="0.25">
      <c r="A133" s="6" t="s">
        <v>99</v>
      </c>
      <c r="B133" s="6"/>
      <c r="C133" s="7"/>
      <c r="D133" s="6">
        <f t="shared" ref="D133:P133" si="72">D83</f>
        <v>7804.6</v>
      </c>
      <c r="E133" s="6">
        <f t="shared" si="72"/>
        <v>9600.8000000000011</v>
      </c>
      <c r="F133" s="6">
        <f t="shared" si="72"/>
        <v>9824.6</v>
      </c>
      <c r="G133" s="6">
        <f t="shared" si="72"/>
        <v>10530.800000000001</v>
      </c>
      <c r="H133" s="6">
        <f t="shared" si="72"/>
        <v>11342</v>
      </c>
      <c r="I133" s="6">
        <f t="shared" si="72"/>
        <v>15267.21402739726</v>
      </c>
      <c r="J133" s="6">
        <f t="shared" si="72"/>
        <v>19343.014915068496</v>
      </c>
      <c r="K133" s="6">
        <f t="shared" si="72"/>
        <v>24191.264131506854</v>
      </c>
      <c r="L133" s="6">
        <f t="shared" si="72"/>
        <v>26894.079083606564</v>
      </c>
      <c r="M133" s="6">
        <f t="shared" si="72"/>
        <v>29772.408687228501</v>
      </c>
      <c r="N133" s="6">
        <f t="shared" si="72"/>
        <v>31856.477295334498</v>
      </c>
      <c r="O133" s="6">
        <f t="shared" si="72"/>
        <v>15393.737900552487</v>
      </c>
      <c r="P133" s="6">
        <f t="shared" si="72"/>
        <v>15267.21402739726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outlineLevel="1" x14ac:dyDescent="0.25">
      <c r="A134" s="6" t="s">
        <v>106</v>
      </c>
      <c r="B134" s="6"/>
      <c r="C134" s="7"/>
      <c r="D134" s="6">
        <f t="shared" ref="D134:P134" si="73">D91</f>
        <v>3902.3</v>
      </c>
      <c r="E134" s="6">
        <f t="shared" si="73"/>
        <v>4800.4000000000005</v>
      </c>
      <c r="F134" s="6">
        <f t="shared" si="73"/>
        <v>4912.3</v>
      </c>
      <c r="G134" s="6">
        <f t="shared" si="73"/>
        <v>5265.4000000000005</v>
      </c>
      <c r="H134" s="19">
        <f t="shared" si="73"/>
        <v>5671</v>
      </c>
      <c r="I134" s="6">
        <f t="shared" si="73"/>
        <v>7061.086487671233</v>
      </c>
      <c r="J134" s="6">
        <f t="shared" si="73"/>
        <v>7952.1283539726046</v>
      </c>
      <c r="K134" s="6">
        <f t="shared" si="73"/>
        <v>8950.7677286575363</v>
      </c>
      <c r="L134" s="6">
        <f t="shared" si="73"/>
        <v>9950.8092609344294</v>
      </c>
      <c r="M134" s="6">
        <f t="shared" si="73"/>
        <v>11015.791214274544</v>
      </c>
      <c r="N134" s="6">
        <f t="shared" si="73"/>
        <v>11786.896599273763</v>
      </c>
      <c r="O134" s="6">
        <f t="shared" si="73"/>
        <v>7119.6037790055252</v>
      </c>
      <c r="P134" s="6">
        <f t="shared" si="73"/>
        <v>7061.086487671233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outlineLevel="1" x14ac:dyDescent="0.25">
      <c r="A135" s="26" t="s">
        <v>205</v>
      </c>
      <c r="B135" s="26"/>
      <c r="C135" s="45"/>
      <c r="D135" s="26">
        <f t="shared" ref="D135:P135" si="74">D132+D133-D134</f>
        <v>9002.6500000000015</v>
      </c>
      <c r="E135" s="26">
        <f t="shared" si="74"/>
        <v>10704.7</v>
      </c>
      <c r="F135" s="26">
        <f t="shared" si="74"/>
        <v>11479.55</v>
      </c>
      <c r="G135" s="26">
        <f t="shared" si="74"/>
        <v>12382.45</v>
      </c>
      <c r="H135" s="26">
        <f t="shared" si="74"/>
        <v>13209.599999999999</v>
      </c>
      <c r="I135" s="26">
        <f t="shared" si="74"/>
        <v>16384.992197260275</v>
      </c>
      <c r="J135" s="26">
        <f t="shared" si="74"/>
        <v>20387.637684383561</v>
      </c>
      <c r="K135" s="26">
        <f t="shared" si="74"/>
        <v>25136.92263846576</v>
      </c>
      <c r="L135" s="26">
        <f t="shared" si="74"/>
        <v>27700.901456114756</v>
      </c>
      <c r="M135" s="26">
        <f t="shared" si="74"/>
        <v>30406.690437521629</v>
      </c>
      <c r="N135" s="26">
        <f t="shared" si="74"/>
        <v>32535.158768148147</v>
      </c>
      <c r="O135" s="26">
        <f t="shared" si="74"/>
        <v>16520.779425414366</v>
      </c>
      <c r="P135" s="26">
        <f t="shared" si="74"/>
        <v>16384.992197260275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outlineLevel="1" x14ac:dyDescent="0.25">
      <c r="A136" s="6" t="s">
        <v>206</v>
      </c>
      <c r="B136" s="6"/>
      <c r="C136" s="7"/>
      <c r="D136" s="6">
        <f t="shared" ref="D136:N136" si="75">D135-C135</f>
        <v>9002.6500000000015</v>
      </c>
      <c r="E136" s="6">
        <f t="shared" si="75"/>
        <v>1702.0499999999993</v>
      </c>
      <c r="F136" s="6">
        <f t="shared" si="75"/>
        <v>774.84999999999854</v>
      </c>
      <c r="G136" s="6">
        <f t="shared" si="75"/>
        <v>902.90000000000146</v>
      </c>
      <c r="H136" s="6">
        <f t="shared" si="75"/>
        <v>827.14999999999782</v>
      </c>
      <c r="I136" s="6">
        <f t="shared" si="75"/>
        <v>3175.3921972602766</v>
      </c>
      <c r="J136" s="6">
        <f t="shared" si="75"/>
        <v>4002.6454871232854</v>
      </c>
      <c r="K136" s="6">
        <f t="shared" si="75"/>
        <v>4749.284954082199</v>
      </c>
      <c r="L136" s="6">
        <f t="shared" si="75"/>
        <v>2563.9788176489965</v>
      </c>
      <c r="M136" s="6">
        <f t="shared" si="75"/>
        <v>2705.7889814068731</v>
      </c>
      <c r="N136" s="6">
        <f t="shared" si="75"/>
        <v>2128.4683306265179</v>
      </c>
      <c r="O136" s="6">
        <f>+O135-H135</f>
        <v>3311.1794254143679</v>
      </c>
      <c r="P136" s="6">
        <f>+P135-O135</f>
        <v>-135.78722815409128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outlineLevel="1" x14ac:dyDescent="0.25">
      <c r="A137" s="6"/>
      <c r="B137" s="6"/>
      <c r="C137" s="7"/>
      <c r="D137" s="19"/>
      <c r="E137" s="19"/>
      <c r="F137" s="19"/>
      <c r="G137" s="19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outlineLevel="1" x14ac:dyDescent="0.25">
      <c r="A138" s="25" t="s">
        <v>207</v>
      </c>
      <c r="B138" s="6"/>
      <c r="C138" s="7"/>
      <c r="D138" s="19"/>
      <c r="E138" s="19"/>
      <c r="F138" s="19"/>
      <c r="G138" s="19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outlineLevel="1" x14ac:dyDescent="0.25">
      <c r="A139" s="6" t="s">
        <v>208</v>
      </c>
      <c r="B139" s="6"/>
      <c r="C139" s="7"/>
      <c r="D139" s="19">
        <v>50000</v>
      </c>
      <c r="E139" s="6">
        <f t="shared" ref="E139:N139" si="76">D142</f>
        <v>45500</v>
      </c>
      <c r="F139" s="6">
        <f t="shared" si="76"/>
        <v>42350</v>
      </c>
      <c r="G139" s="6">
        <f t="shared" si="76"/>
        <v>40145</v>
      </c>
      <c r="H139" s="6">
        <f t="shared" si="76"/>
        <v>38601.5</v>
      </c>
      <c r="I139" s="6">
        <f t="shared" si="76"/>
        <v>37521.050000000003</v>
      </c>
      <c r="J139" s="6">
        <f t="shared" si="76"/>
        <v>45016.840000000004</v>
      </c>
      <c r="K139" s="6">
        <f t="shared" si="76"/>
        <v>51013.472000000002</v>
      </c>
      <c r="L139" s="6">
        <f t="shared" si="76"/>
        <v>55810.777600000009</v>
      </c>
      <c r="M139" s="6">
        <f t="shared" si="76"/>
        <v>59648.622080000001</v>
      </c>
      <c r="N139" s="6">
        <f t="shared" si="76"/>
        <v>62718.897664000004</v>
      </c>
      <c r="O139" s="6">
        <f>+H142</f>
        <v>37521.050000000003</v>
      </c>
      <c r="P139" s="6">
        <f>+O142</f>
        <v>41268.945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outlineLevel="1" x14ac:dyDescent="0.25">
      <c r="A140" s="6" t="s">
        <v>209</v>
      </c>
      <c r="B140" s="6"/>
      <c r="C140" s="7"/>
      <c r="D140" s="6">
        <f t="shared" ref="D140:N140" si="77">D55</f>
        <v>15000</v>
      </c>
      <c r="E140" s="6">
        <f t="shared" si="77"/>
        <v>15000</v>
      </c>
      <c r="F140" s="6">
        <f t="shared" si="77"/>
        <v>15000</v>
      </c>
      <c r="G140" s="6">
        <f t="shared" si="77"/>
        <v>15000</v>
      </c>
      <c r="H140" s="6">
        <f t="shared" si="77"/>
        <v>15000</v>
      </c>
      <c r="I140" s="6">
        <f t="shared" si="77"/>
        <v>15000</v>
      </c>
      <c r="J140" s="6">
        <f t="shared" si="77"/>
        <v>15000</v>
      </c>
      <c r="K140" s="6">
        <f t="shared" si="77"/>
        <v>15000</v>
      </c>
      <c r="L140" s="6">
        <f t="shared" si="77"/>
        <v>15000</v>
      </c>
      <c r="M140" s="6">
        <f t="shared" si="77"/>
        <v>15000</v>
      </c>
      <c r="N140" s="6">
        <f t="shared" si="77"/>
        <v>15000</v>
      </c>
      <c r="O140" s="6">
        <f t="shared" ref="O140:P140" si="78">+$I140*O$6</f>
        <v>7500</v>
      </c>
      <c r="P140" s="6">
        <f t="shared" si="78"/>
        <v>7500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outlineLevel="1" x14ac:dyDescent="0.25">
      <c r="A141" s="6" t="s">
        <v>210</v>
      </c>
      <c r="B141" s="6"/>
      <c r="C141" s="126"/>
      <c r="D141" s="6">
        <f>D108</f>
        <v>19500</v>
      </c>
      <c r="E141" s="6">
        <f t="shared" ref="E141:H141" si="79">E108</f>
        <v>18150</v>
      </c>
      <c r="F141" s="6">
        <f t="shared" si="79"/>
        <v>17205</v>
      </c>
      <c r="G141" s="6">
        <f t="shared" si="79"/>
        <v>16543.5</v>
      </c>
      <c r="H141" s="6">
        <f t="shared" si="79"/>
        <v>16080.449999999999</v>
      </c>
      <c r="I141" s="124">
        <f t="shared" ref="I141:N141" si="80">I139*I49</f>
        <v>7504.2100000000009</v>
      </c>
      <c r="J141" s="124">
        <f t="shared" si="80"/>
        <v>9003.3680000000004</v>
      </c>
      <c r="K141" s="124">
        <f t="shared" si="80"/>
        <v>10202.6944</v>
      </c>
      <c r="L141" s="124">
        <f t="shared" si="80"/>
        <v>11162.155520000002</v>
      </c>
      <c r="M141" s="124">
        <f t="shared" si="80"/>
        <v>11929.724416000001</v>
      </c>
      <c r="N141" s="124">
        <f t="shared" si="80"/>
        <v>12543.779532800001</v>
      </c>
      <c r="O141" s="6">
        <f t="shared" ref="O141:P141" si="81">+$I141*O$6</f>
        <v>3752.1050000000005</v>
      </c>
      <c r="P141" s="6">
        <f t="shared" si="81"/>
        <v>3752.1050000000005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outlineLevel="1" x14ac:dyDescent="0.25">
      <c r="A142" s="26" t="s">
        <v>211</v>
      </c>
      <c r="B142" s="26"/>
      <c r="C142" s="45"/>
      <c r="D142" s="26">
        <f t="shared" ref="D142:P142" si="82">D139+D140-D141</f>
        <v>45500</v>
      </c>
      <c r="E142" s="26">
        <f t="shared" si="82"/>
        <v>42350</v>
      </c>
      <c r="F142" s="26">
        <f t="shared" si="82"/>
        <v>40145</v>
      </c>
      <c r="G142" s="26">
        <f t="shared" si="82"/>
        <v>38601.5</v>
      </c>
      <c r="H142" s="26">
        <f t="shared" si="82"/>
        <v>37521.050000000003</v>
      </c>
      <c r="I142" s="26">
        <f t="shared" si="82"/>
        <v>45016.840000000004</v>
      </c>
      <c r="J142" s="26">
        <f t="shared" si="82"/>
        <v>51013.472000000002</v>
      </c>
      <c r="K142" s="26">
        <f t="shared" si="82"/>
        <v>55810.777600000009</v>
      </c>
      <c r="L142" s="26">
        <f t="shared" si="82"/>
        <v>59648.622080000001</v>
      </c>
      <c r="M142" s="26">
        <f t="shared" si="82"/>
        <v>62718.897664000004</v>
      </c>
      <c r="N142" s="26">
        <f t="shared" si="82"/>
        <v>65175.118131200004</v>
      </c>
      <c r="O142" s="26">
        <f t="shared" si="82"/>
        <v>41268.945</v>
      </c>
      <c r="P142" s="26">
        <f t="shared" si="82"/>
        <v>45016.84</v>
      </c>
      <c r="Q142" s="6" t="s">
        <v>268</v>
      </c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outlineLevel="1" x14ac:dyDescent="0.25">
      <c r="A143" s="6"/>
      <c r="B143" s="6"/>
      <c r="C143" s="7"/>
      <c r="D143" s="19"/>
      <c r="E143" s="19"/>
      <c r="F143" s="19"/>
      <c r="G143" s="19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outlineLevel="1" x14ac:dyDescent="0.25">
      <c r="A144" s="25" t="s">
        <v>269</v>
      </c>
      <c r="B144" s="6"/>
      <c r="C144" s="7"/>
      <c r="D144" s="19"/>
      <c r="E144" s="19"/>
      <c r="F144" s="19"/>
      <c r="G144" s="19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outlineLevel="1" x14ac:dyDescent="0.25">
      <c r="A145" s="6" t="s">
        <v>270</v>
      </c>
      <c r="B145" s="6"/>
      <c r="C145" s="7"/>
      <c r="D145" s="19">
        <f>'[1]Acquirer statements'!$C$51</f>
        <v>50000</v>
      </c>
      <c r="E145" s="6">
        <f t="shared" ref="E145:N145" si="83">D147</f>
        <v>50000</v>
      </c>
      <c r="F145" s="6">
        <f t="shared" si="83"/>
        <v>50000</v>
      </c>
      <c r="G145" s="6">
        <f t="shared" si="83"/>
        <v>30000</v>
      </c>
      <c r="H145" s="6">
        <f t="shared" si="83"/>
        <v>30000</v>
      </c>
      <c r="I145" s="6">
        <f t="shared" si="83"/>
        <v>30000</v>
      </c>
      <c r="J145" s="6">
        <f t="shared" si="83"/>
        <v>30000</v>
      </c>
      <c r="K145" s="6">
        <f t="shared" si="83"/>
        <v>30000</v>
      </c>
      <c r="L145" s="6">
        <f t="shared" si="83"/>
        <v>10000</v>
      </c>
      <c r="M145" s="6">
        <f t="shared" si="83"/>
        <v>10000</v>
      </c>
      <c r="N145" s="6">
        <f t="shared" si="83"/>
        <v>10000</v>
      </c>
      <c r="O145" s="6">
        <f>+H147</f>
        <v>30000</v>
      </c>
      <c r="P145" s="6">
        <f>+O147</f>
        <v>30000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outlineLevel="1" x14ac:dyDescent="0.25">
      <c r="A146" s="6" t="s">
        <v>271</v>
      </c>
      <c r="B146" s="6"/>
      <c r="C146" s="7"/>
      <c r="D146" s="6">
        <f t="shared" ref="D146:N146" si="84">D56</f>
        <v>0</v>
      </c>
      <c r="E146" s="6">
        <f t="shared" si="84"/>
        <v>0</v>
      </c>
      <c r="F146" s="6">
        <v>-20000</v>
      </c>
      <c r="G146" s="6">
        <f t="shared" si="84"/>
        <v>0</v>
      </c>
      <c r="H146" s="6">
        <f t="shared" si="84"/>
        <v>0</v>
      </c>
      <c r="I146" s="6">
        <f t="shared" si="84"/>
        <v>0</v>
      </c>
      <c r="J146" s="6">
        <f t="shared" si="84"/>
        <v>0</v>
      </c>
      <c r="K146" s="6">
        <f t="shared" si="84"/>
        <v>-20000</v>
      </c>
      <c r="L146" s="6">
        <f t="shared" si="84"/>
        <v>0</v>
      </c>
      <c r="M146" s="6">
        <f t="shared" si="84"/>
        <v>0</v>
      </c>
      <c r="N146" s="6">
        <f t="shared" si="84"/>
        <v>0</v>
      </c>
      <c r="O146" s="6">
        <f t="shared" ref="O146:P146" si="85">+$I146*O$6</f>
        <v>0</v>
      </c>
      <c r="P146" s="6">
        <f t="shared" si="85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outlineLevel="1" x14ac:dyDescent="0.25">
      <c r="A147" s="26" t="s">
        <v>272</v>
      </c>
      <c r="B147" s="26"/>
      <c r="C147" s="45"/>
      <c r="D147" s="26">
        <f t="shared" ref="D147:P147" si="86">SUM(D145:D146)</f>
        <v>50000</v>
      </c>
      <c r="E147" s="26">
        <f t="shared" si="86"/>
        <v>50000</v>
      </c>
      <c r="F147" s="26">
        <f t="shared" si="86"/>
        <v>30000</v>
      </c>
      <c r="G147" s="26">
        <f t="shared" si="86"/>
        <v>30000</v>
      </c>
      <c r="H147" s="26">
        <f t="shared" si="86"/>
        <v>30000</v>
      </c>
      <c r="I147" s="26">
        <f t="shared" si="86"/>
        <v>30000</v>
      </c>
      <c r="J147" s="26">
        <f t="shared" si="86"/>
        <v>30000</v>
      </c>
      <c r="K147" s="26">
        <f t="shared" si="86"/>
        <v>10000</v>
      </c>
      <c r="L147" s="26">
        <f t="shared" si="86"/>
        <v>10000</v>
      </c>
      <c r="M147" s="26">
        <f t="shared" si="86"/>
        <v>10000</v>
      </c>
      <c r="N147" s="26">
        <f t="shared" si="86"/>
        <v>10000</v>
      </c>
      <c r="O147" s="26">
        <f t="shared" si="86"/>
        <v>30000</v>
      </c>
      <c r="P147" s="26">
        <f t="shared" si="86"/>
        <v>30000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outlineLevel="1" x14ac:dyDescent="0.25">
      <c r="A148" s="6" t="s">
        <v>273</v>
      </c>
      <c r="B148" s="6"/>
      <c r="C148" s="126"/>
      <c r="D148" s="168">
        <v>2500</v>
      </c>
      <c r="E148" s="168">
        <v>2500</v>
      </c>
      <c r="F148" s="168">
        <v>1500</v>
      </c>
      <c r="G148" s="168">
        <v>1500</v>
      </c>
      <c r="H148" s="168">
        <v>1500</v>
      </c>
      <c r="I148" s="6">
        <f t="shared" ref="I148:N148" si="87">I147*I50</f>
        <v>3000</v>
      </c>
      <c r="J148" s="6">
        <f t="shared" si="87"/>
        <v>3000</v>
      </c>
      <c r="K148" s="6">
        <f t="shared" si="87"/>
        <v>1000</v>
      </c>
      <c r="L148" s="6">
        <f t="shared" si="87"/>
        <v>1000</v>
      </c>
      <c r="M148" s="6">
        <f t="shared" si="87"/>
        <v>1000</v>
      </c>
      <c r="N148" s="6">
        <f t="shared" si="87"/>
        <v>1000</v>
      </c>
      <c r="O148" s="6">
        <f t="shared" ref="O148:P148" si="88">+I148*O6</f>
        <v>1500</v>
      </c>
      <c r="P148" s="6">
        <f t="shared" si="88"/>
        <v>1500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outlineLevel="1" x14ac:dyDescent="0.25">
      <c r="A149" s="6"/>
      <c r="B149" s="6"/>
      <c r="C149" s="7"/>
      <c r="D149" s="19"/>
      <c r="E149" s="19"/>
      <c r="F149" s="19"/>
      <c r="G149" s="19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outlineLevel="1" x14ac:dyDescent="0.25">
      <c r="A150" s="6"/>
      <c r="B150" s="6"/>
      <c r="C150" s="7"/>
      <c r="D150" s="19"/>
      <c r="E150" s="19"/>
      <c r="F150" s="19"/>
      <c r="G150" s="19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x14ac:dyDescent="0.25">
      <c r="A151" s="6"/>
      <c r="B151" s="6"/>
      <c r="C151" s="7"/>
      <c r="D151" s="19"/>
      <c r="E151" s="19"/>
      <c r="F151" s="19"/>
      <c r="G151" s="19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" x14ac:dyDescent="0.35">
      <c r="A152" s="9" t="s">
        <v>138</v>
      </c>
      <c r="B152" s="10"/>
      <c r="C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outlineLevel="1" x14ac:dyDescent="0.25">
      <c r="A153" s="25"/>
      <c r="B153" s="6"/>
      <c r="C153" s="7"/>
      <c r="D153" s="19"/>
      <c r="E153" s="19"/>
      <c r="F153" s="19"/>
      <c r="G153" s="19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outlineLevel="1" x14ac:dyDescent="0.25">
      <c r="A154" s="25" t="s">
        <v>0</v>
      </c>
      <c r="B154" s="19"/>
      <c r="C154" s="19"/>
      <c r="D154" s="1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outlineLevel="1" x14ac:dyDescent="0.25">
      <c r="A155" s="26" t="s">
        <v>223</v>
      </c>
      <c r="B155" s="28"/>
      <c r="C155" s="138">
        <v>0.25</v>
      </c>
      <c r="D155" s="1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outlineLevel="1" x14ac:dyDescent="0.25">
      <c r="A156" s="6" t="s">
        <v>224</v>
      </c>
      <c r="B156" s="6"/>
      <c r="C156" s="87">
        <v>0.12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outlineLevel="1" x14ac:dyDescent="0.25">
      <c r="A157" s="6" t="s">
        <v>225</v>
      </c>
      <c r="B157" s="6"/>
      <c r="C157" s="87">
        <v>0.04</v>
      </c>
      <c r="D157" s="6"/>
      <c r="E157" s="6"/>
      <c r="F157" s="6"/>
      <c r="G157" s="6"/>
      <c r="H157" s="6"/>
      <c r="I157" s="6"/>
      <c r="J157" s="126"/>
      <c r="K157" s="126"/>
      <c r="L157" s="126"/>
      <c r="M157" s="126"/>
      <c r="N157" s="1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outlineLevel="1" x14ac:dyDescent="0.25">
      <c r="A158" s="6" t="s">
        <v>226</v>
      </c>
      <c r="B158" s="6"/>
      <c r="C158" s="139">
        <f>'[1]DCF Assumptions'!$C$7</f>
        <v>8</v>
      </c>
      <c r="D158" s="6"/>
      <c r="E158" s="6"/>
      <c r="F158" s="6"/>
      <c r="G158" s="6"/>
      <c r="H158" s="6"/>
      <c r="I158" s="6"/>
      <c r="J158" s="126"/>
      <c r="K158" s="126"/>
      <c r="L158" s="126"/>
      <c r="M158" s="126"/>
      <c r="N158" s="1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outlineLevel="1" x14ac:dyDescent="0.25">
      <c r="A159" s="6" t="s">
        <v>227</v>
      </c>
      <c r="B159" s="6"/>
      <c r="C159" s="140">
        <f>'M&amp;A Assumptions &amp; Analysis'!D8</f>
        <v>11.75</v>
      </c>
      <c r="D159" s="6"/>
      <c r="E159" s="6"/>
      <c r="F159" s="6"/>
      <c r="G159" s="6"/>
      <c r="H159" s="6"/>
      <c r="I159" s="6"/>
      <c r="J159" s="126"/>
      <c r="K159" s="126"/>
      <c r="L159" s="126"/>
      <c r="M159" s="126"/>
      <c r="N159" s="1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outlineLevel="1" x14ac:dyDescent="0.25">
      <c r="A160" s="6" t="s">
        <v>148</v>
      </c>
      <c r="B160" s="6"/>
      <c r="C160" s="141">
        <f>'M&amp;A Assumptions &amp; Analysis'!D22</f>
        <v>50000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outlineLevel="1" x14ac:dyDescent="0.25">
      <c r="A161" s="6"/>
      <c r="B161" s="6"/>
      <c r="C161" s="14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outlineLevel="1" x14ac:dyDescent="0.25">
      <c r="A162" s="6"/>
      <c r="B162" s="6"/>
      <c r="C162" s="2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outlineLevel="1" x14ac:dyDescent="0.25">
      <c r="A163" s="25" t="s">
        <v>228</v>
      </c>
      <c r="B163" s="6"/>
      <c r="C163" s="56" t="s">
        <v>229</v>
      </c>
      <c r="D163" s="143">
        <f>I2</f>
        <v>2025</v>
      </c>
      <c r="E163" s="144">
        <f t="shared" ref="E163:I163" si="89">+D163+1</f>
        <v>2026</v>
      </c>
      <c r="F163" s="144">
        <f t="shared" si="89"/>
        <v>2027</v>
      </c>
      <c r="G163" s="144">
        <f t="shared" si="89"/>
        <v>2028</v>
      </c>
      <c r="H163" s="144">
        <f t="shared" si="89"/>
        <v>2029</v>
      </c>
      <c r="I163" s="144">
        <f t="shared" si="89"/>
        <v>2030</v>
      </c>
      <c r="J163" s="56" t="s">
        <v>230</v>
      </c>
      <c r="K163" s="6"/>
      <c r="L163" s="25" t="s">
        <v>231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outlineLevel="1" x14ac:dyDescent="0.25">
      <c r="A164" s="145" t="s">
        <v>232</v>
      </c>
      <c r="B164" s="145"/>
      <c r="C164" s="146">
        <f>'M&amp;A Assumptions &amp; Analysis'!$D$10</f>
        <v>45838</v>
      </c>
      <c r="D164" s="147">
        <f t="shared" ref="D164:I164" si="90">DATE(D163,12,31)</f>
        <v>46022</v>
      </c>
      <c r="E164" s="147">
        <f t="shared" si="90"/>
        <v>46387</v>
      </c>
      <c r="F164" s="147">
        <f t="shared" si="90"/>
        <v>46752</v>
      </c>
      <c r="G164" s="147">
        <f t="shared" si="90"/>
        <v>47118</v>
      </c>
      <c r="H164" s="147">
        <f t="shared" si="90"/>
        <v>47483</v>
      </c>
      <c r="I164" s="147">
        <f t="shared" si="90"/>
        <v>47848</v>
      </c>
      <c r="J164" s="147">
        <f>I164</f>
        <v>47848</v>
      </c>
      <c r="K164" s="6"/>
      <c r="L164" s="26" t="s">
        <v>233</v>
      </c>
      <c r="M164" s="26"/>
      <c r="N164" s="148">
        <f>+H171*C158</f>
        <v>579263.26838438411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outlineLevel="1" x14ac:dyDescent="0.25">
      <c r="A165" s="50" t="s">
        <v>274</v>
      </c>
      <c r="B165" s="50"/>
      <c r="C165" s="50"/>
      <c r="D165" s="149">
        <f t="shared" ref="D165:I165" si="91">YEARFRAC(C164,D164)</f>
        <v>0.5</v>
      </c>
      <c r="E165" s="149">
        <f t="shared" si="91"/>
        <v>1</v>
      </c>
      <c r="F165" s="149">
        <f t="shared" si="91"/>
        <v>1</v>
      </c>
      <c r="G165" s="149">
        <f t="shared" si="91"/>
        <v>1</v>
      </c>
      <c r="H165" s="149">
        <f t="shared" si="91"/>
        <v>1</v>
      </c>
      <c r="I165" s="149">
        <f t="shared" si="91"/>
        <v>1</v>
      </c>
      <c r="J165" s="149">
        <f>H165</f>
        <v>1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outlineLevel="1" x14ac:dyDescent="0.25">
      <c r="A166" s="50"/>
      <c r="B166" s="50"/>
      <c r="C166" s="50"/>
      <c r="D166" s="149"/>
      <c r="E166" s="149"/>
      <c r="F166" s="149"/>
      <c r="G166" s="149"/>
      <c r="H166" s="149"/>
      <c r="I166" s="149"/>
      <c r="J166" s="7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outlineLevel="1" x14ac:dyDescent="0.25">
      <c r="A167" s="6" t="s">
        <v>234</v>
      </c>
      <c r="B167" s="6"/>
      <c r="C167" s="6"/>
      <c r="D167" s="6">
        <f t="shared" ref="D167:I167" si="92">I72+I70</f>
        <v>45493.962000000007</v>
      </c>
      <c r="E167" s="6">
        <f t="shared" si="92"/>
        <v>48970.28</v>
      </c>
      <c r="F167" s="6">
        <f t="shared" si="92"/>
        <v>53061.54308000001</v>
      </c>
      <c r="G167" s="6">
        <f t="shared" si="92"/>
        <v>56958.478234400012</v>
      </c>
      <c r="H167" s="6">
        <f t="shared" si="92"/>
        <v>60478.184132048016</v>
      </c>
      <c r="I167" s="6">
        <f t="shared" si="92"/>
        <v>65982.682613611367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outlineLevel="1" x14ac:dyDescent="0.25">
      <c r="A168" s="6" t="s">
        <v>235</v>
      </c>
      <c r="B168" s="6"/>
      <c r="C168" s="6"/>
      <c r="D168" s="124">
        <f t="shared" ref="D168:I168" si="93">D167*$C$155</f>
        <v>11373.490500000002</v>
      </c>
      <c r="E168" s="124">
        <f t="shared" si="93"/>
        <v>12242.57</v>
      </c>
      <c r="F168" s="124">
        <f t="shared" si="93"/>
        <v>13265.385770000003</v>
      </c>
      <c r="G168" s="124">
        <f t="shared" si="93"/>
        <v>14239.619558600003</v>
      </c>
      <c r="H168" s="124">
        <f t="shared" si="93"/>
        <v>15119.546033012004</v>
      </c>
      <c r="I168" s="124">
        <f t="shared" si="93"/>
        <v>16495.670653402842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outlineLevel="1" x14ac:dyDescent="0.25">
      <c r="A169" s="26" t="s">
        <v>236</v>
      </c>
      <c r="B169" s="26"/>
      <c r="C169" s="26"/>
      <c r="D169" s="148">
        <f t="shared" ref="D169:I169" si="94">D167-D168</f>
        <v>34120.471500000007</v>
      </c>
      <c r="E169" s="148">
        <f t="shared" si="94"/>
        <v>36727.71</v>
      </c>
      <c r="F169" s="148">
        <f t="shared" si="94"/>
        <v>39796.15731000001</v>
      </c>
      <c r="G169" s="148">
        <f t="shared" si="94"/>
        <v>42718.858675800009</v>
      </c>
      <c r="H169" s="148">
        <f t="shared" si="94"/>
        <v>45358.638099036012</v>
      </c>
      <c r="I169" s="148">
        <f t="shared" si="94"/>
        <v>49487.011960208525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outlineLevel="1" x14ac:dyDescent="0.25">
      <c r="A170" s="6" t="s">
        <v>237</v>
      </c>
      <c r="B170" s="6"/>
      <c r="C170" s="6"/>
      <c r="D170" s="124">
        <f t="shared" ref="D170:I170" si="95">+I108</f>
        <v>7504.2100000000009</v>
      </c>
      <c r="E170" s="124">
        <f t="shared" si="95"/>
        <v>9003.3680000000004</v>
      </c>
      <c r="F170" s="124">
        <f t="shared" si="95"/>
        <v>10202.6944</v>
      </c>
      <c r="G170" s="124">
        <f t="shared" si="95"/>
        <v>11162.155520000002</v>
      </c>
      <c r="H170" s="124">
        <f t="shared" si="95"/>
        <v>11929.724416000001</v>
      </c>
      <c r="I170" s="124">
        <f t="shared" si="95"/>
        <v>12543.779532800001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outlineLevel="1" x14ac:dyDescent="0.25">
      <c r="A171" s="6" t="s">
        <v>238</v>
      </c>
      <c r="B171" s="6"/>
      <c r="C171" s="6"/>
      <c r="D171" s="124">
        <f t="shared" ref="D171:I171" si="96">D167+D170</f>
        <v>52998.172000000006</v>
      </c>
      <c r="E171" s="124">
        <f t="shared" si="96"/>
        <v>57973.648000000001</v>
      </c>
      <c r="F171" s="124">
        <f t="shared" si="96"/>
        <v>63264.237480000011</v>
      </c>
      <c r="G171" s="124">
        <f t="shared" si="96"/>
        <v>68120.633754400013</v>
      </c>
      <c r="H171" s="124">
        <f t="shared" si="96"/>
        <v>72407.908548048013</v>
      </c>
      <c r="I171" s="124">
        <f t="shared" si="96"/>
        <v>78526.462146411373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outlineLevel="1" x14ac:dyDescent="0.25">
      <c r="A172" s="6" t="s">
        <v>239</v>
      </c>
      <c r="B172" s="6"/>
      <c r="C172" s="6"/>
      <c r="D172" s="6">
        <f t="shared" ref="D172:I172" si="97">-I113</f>
        <v>15000</v>
      </c>
      <c r="E172" s="6">
        <f t="shared" si="97"/>
        <v>15000</v>
      </c>
      <c r="F172" s="6">
        <f t="shared" si="97"/>
        <v>15000</v>
      </c>
      <c r="G172" s="6">
        <f t="shared" si="97"/>
        <v>15000</v>
      </c>
      <c r="H172" s="6">
        <f t="shared" si="97"/>
        <v>15000</v>
      </c>
      <c r="I172" s="6">
        <f t="shared" si="97"/>
        <v>15000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outlineLevel="1" x14ac:dyDescent="0.25">
      <c r="A173" s="6" t="s">
        <v>240</v>
      </c>
      <c r="B173" s="6"/>
      <c r="C173" s="6"/>
      <c r="D173" s="6">
        <f t="shared" ref="D173:I173" si="98">I136</f>
        <v>3175.3921972602766</v>
      </c>
      <c r="E173" s="6">
        <f t="shared" si="98"/>
        <v>4002.6454871232854</v>
      </c>
      <c r="F173" s="6">
        <f t="shared" si="98"/>
        <v>4749.284954082199</v>
      </c>
      <c r="G173" s="6">
        <f t="shared" si="98"/>
        <v>2563.9788176489965</v>
      </c>
      <c r="H173" s="6">
        <f t="shared" si="98"/>
        <v>2705.7889814068731</v>
      </c>
      <c r="I173" s="6">
        <f t="shared" si="98"/>
        <v>2128.4683306265179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outlineLevel="1" x14ac:dyDescent="0.25">
      <c r="A174" s="35" t="s">
        <v>241</v>
      </c>
      <c r="B174" s="35"/>
      <c r="C174" s="35"/>
      <c r="D174" s="35">
        <f t="shared" ref="D174:I174" si="99">D169+D170-D172-D173</f>
        <v>23449.289302739729</v>
      </c>
      <c r="E174" s="35">
        <f t="shared" si="99"/>
        <v>26728.432512876716</v>
      </c>
      <c r="F174" s="35">
        <f t="shared" si="99"/>
        <v>30249.566755917811</v>
      </c>
      <c r="G174" s="35">
        <f t="shared" si="99"/>
        <v>36317.035378151013</v>
      </c>
      <c r="H174" s="35">
        <f t="shared" si="99"/>
        <v>39582.57353362914</v>
      </c>
      <c r="I174" s="35">
        <f t="shared" si="99"/>
        <v>44902.323162382003</v>
      </c>
      <c r="J174" s="35">
        <f>N164</f>
        <v>579263.26838438411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outlineLevel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outlineLevel="1" x14ac:dyDescent="0.25">
      <c r="A176" s="25" t="s">
        <v>242</v>
      </c>
      <c r="B176" s="25"/>
      <c r="C176" s="25">
        <f>J178</f>
        <v>579263.26838438411</v>
      </c>
      <c r="D176" s="25">
        <f t="shared" ref="D176:J176" si="100">D174*D165</f>
        <v>11724.644651369865</v>
      </c>
      <c r="E176" s="25">
        <f t="shared" si="100"/>
        <v>26728.432512876716</v>
      </c>
      <c r="F176" s="25">
        <f t="shared" si="100"/>
        <v>30249.566755917811</v>
      </c>
      <c r="G176" s="25">
        <f t="shared" si="100"/>
        <v>36317.035378151013</v>
      </c>
      <c r="H176" s="25">
        <f t="shared" si="100"/>
        <v>39582.57353362914</v>
      </c>
      <c r="I176" s="25">
        <f t="shared" si="100"/>
        <v>44902.323162382003</v>
      </c>
      <c r="J176" s="25">
        <f t="shared" si="100"/>
        <v>579263.26838438411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outlineLevel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outlineLevel="1" x14ac:dyDescent="0.25">
      <c r="A178" s="25" t="s">
        <v>243</v>
      </c>
      <c r="B178" s="25"/>
      <c r="C178" s="25">
        <f>-G184</f>
        <v>-469711.72774022946</v>
      </c>
      <c r="D178" s="25">
        <f t="shared" ref="D178:J178" si="101">D176</f>
        <v>11724.644651369865</v>
      </c>
      <c r="E178" s="25">
        <f t="shared" si="101"/>
        <v>26728.432512876716</v>
      </c>
      <c r="F178" s="25">
        <f t="shared" si="101"/>
        <v>30249.566755917811</v>
      </c>
      <c r="G178" s="25">
        <f t="shared" si="101"/>
        <v>36317.035378151013</v>
      </c>
      <c r="H178" s="25">
        <f t="shared" si="101"/>
        <v>39582.57353362914</v>
      </c>
      <c r="I178" s="25">
        <f t="shared" si="101"/>
        <v>44902.323162382003</v>
      </c>
      <c r="J178" s="25">
        <f t="shared" si="101"/>
        <v>579263.26838438411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outlineLevel="1" x14ac:dyDescent="0.25">
      <c r="A179" s="6"/>
      <c r="B179" s="7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outlineLevel="1" x14ac:dyDescent="0.25">
      <c r="A180" s="25" t="s">
        <v>244</v>
      </c>
      <c r="B180" s="6"/>
      <c r="C180" s="6"/>
      <c r="D180" s="6"/>
      <c r="E180" s="25" t="s">
        <v>245</v>
      </c>
      <c r="F180" s="6"/>
      <c r="G180" s="6"/>
      <c r="H180" s="6"/>
      <c r="I180" s="6"/>
      <c r="J180" s="25" t="s">
        <v>246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outlineLevel="1" x14ac:dyDescent="0.25">
      <c r="A181" s="26" t="s">
        <v>63</v>
      </c>
      <c r="B181" s="26"/>
      <c r="C181" s="26">
        <f>XNPV(C156,C176:J176,C164:J164)</f>
        <v>1018207.973331286</v>
      </c>
      <c r="D181" s="6"/>
      <c r="E181" s="26" t="s">
        <v>247</v>
      </c>
      <c r="F181" s="26"/>
      <c r="G181" s="26">
        <f>C159*C160</f>
        <v>587500</v>
      </c>
      <c r="H181" s="6"/>
      <c r="I181" s="6"/>
      <c r="J181" s="26" t="s">
        <v>248</v>
      </c>
      <c r="K181" s="26"/>
      <c r="L181" s="82">
        <v>0.08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outlineLevel="1" x14ac:dyDescent="0.25">
      <c r="A182" s="6" t="s">
        <v>249</v>
      </c>
      <c r="B182" s="6"/>
      <c r="C182" s="6">
        <f>+O81</f>
        <v>147788.27225977054</v>
      </c>
      <c r="D182" s="6"/>
      <c r="E182" s="6" t="s">
        <v>250</v>
      </c>
      <c r="F182" s="6"/>
      <c r="G182" s="6">
        <f>O93+O90</f>
        <v>30000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outlineLevel="1" x14ac:dyDescent="0.25">
      <c r="A183" s="6" t="s">
        <v>251</v>
      </c>
      <c r="B183" s="6"/>
      <c r="C183" s="6">
        <f>O93</f>
        <v>30000</v>
      </c>
      <c r="D183" s="6"/>
      <c r="E183" s="6" t="s">
        <v>252</v>
      </c>
      <c r="F183" s="6"/>
      <c r="G183" s="6">
        <f>O81</f>
        <v>147788.27225977054</v>
      </c>
      <c r="H183" s="6"/>
      <c r="I183" s="6"/>
      <c r="J183" s="6"/>
      <c r="K183" s="6"/>
      <c r="L183" s="7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outlineLevel="1" x14ac:dyDescent="0.25">
      <c r="A184" s="6" t="s">
        <v>253</v>
      </c>
      <c r="B184" s="6"/>
      <c r="C184" s="26">
        <f>C181+C182-C183</f>
        <v>1135996.2455910565</v>
      </c>
      <c r="D184" s="6"/>
      <c r="E184" s="6" t="s">
        <v>63</v>
      </c>
      <c r="F184" s="6"/>
      <c r="G184" s="26">
        <f>G181+G182-G183</f>
        <v>469711.72774022946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outlineLevel="1" x14ac:dyDescent="0.25">
      <c r="A185" s="6"/>
      <c r="B185" s="6"/>
      <c r="C185" s="6"/>
      <c r="D185" s="6"/>
      <c r="E185" s="6"/>
      <c r="F185" s="6"/>
      <c r="G185" s="7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outlineLevel="1" x14ac:dyDescent="0.25">
      <c r="A186" s="25" t="s">
        <v>149</v>
      </c>
      <c r="B186" s="6"/>
      <c r="C186" s="150">
        <f>C184/C160</f>
        <v>22.719924911821131</v>
      </c>
      <c r="D186" s="6"/>
      <c r="E186" s="25" t="s">
        <v>149</v>
      </c>
      <c r="F186" s="25"/>
      <c r="G186" s="151">
        <f>C159</f>
        <v>11.75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outlineLevel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outlineLevel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x14ac:dyDescent="0.25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x14ac:dyDescent="0.25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x14ac:dyDescent="0.25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x14ac:dyDescent="0.25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x14ac:dyDescent="0.25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x14ac:dyDescent="0.25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x14ac:dyDescent="0.25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x14ac:dyDescent="0.25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x14ac:dyDescent="0.25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x14ac:dyDescent="0.25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x14ac:dyDescent="0.25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x14ac:dyDescent="0.25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x14ac:dyDescent="0.25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x14ac:dyDescent="0.25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x14ac:dyDescent="0.25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x14ac:dyDescent="0.25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x14ac:dyDescent="0.25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x14ac:dyDescent="0.25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x14ac:dyDescent="0.25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x14ac:dyDescent="0.25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x14ac:dyDescent="0.25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x14ac:dyDescent="0.25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x14ac:dyDescent="0.25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x14ac:dyDescent="0.25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x14ac:dyDescent="0.25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x14ac:dyDescent="0.25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x14ac:dyDescent="0.25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x14ac:dyDescent="0.25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x14ac:dyDescent="0.25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x14ac:dyDescent="0.25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x14ac:dyDescent="0.25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x14ac:dyDescent="0.25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x14ac:dyDescent="0.25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x14ac:dyDescent="0.25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x14ac:dyDescent="0.25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x14ac:dyDescent="0.25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x14ac:dyDescent="0.25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x14ac:dyDescent="0.25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x14ac:dyDescent="0.25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x14ac:dyDescent="0.25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x14ac:dyDescent="0.25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x14ac:dyDescent="0.25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x14ac:dyDescent="0.25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x14ac:dyDescent="0.25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x14ac:dyDescent="0.25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x14ac:dyDescent="0.25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x14ac:dyDescent="0.25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x14ac:dyDescent="0.25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x14ac:dyDescent="0.25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x14ac:dyDescent="0.25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x14ac:dyDescent="0.25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x14ac:dyDescent="0.25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x14ac:dyDescent="0.25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x14ac:dyDescent="0.25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x14ac:dyDescent="0.25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x14ac:dyDescent="0.25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x14ac:dyDescent="0.25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x14ac:dyDescent="0.25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x14ac:dyDescent="0.25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x14ac:dyDescent="0.25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x14ac:dyDescent="0.25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x14ac:dyDescent="0.25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x14ac:dyDescent="0.25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x14ac:dyDescent="0.25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x14ac:dyDescent="0.25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x14ac:dyDescent="0.25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x14ac:dyDescent="0.25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x14ac:dyDescent="0.25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x14ac:dyDescent="0.25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x14ac:dyDescent="0.25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x14ac:dyDescent="0.25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x14ac:dyDescent="0.25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x14ac:dyDescent="0.25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x14ac:dyDescent="0.25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x14ac:dyDescent="0.25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x14ac:dyDescent="0.25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x14ac:dyDescent="0.25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x14ac:dyDescent="0.25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x14ac:dyDescent="0.25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x14ac:dyDescent="0.25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x14ac:dyDescent="0.25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x14ac:dyDescent="0.25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x14ac:dyDescent="0.25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x14ac:dyDescent="0.25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x14ac:dyDescent="0.25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x14ac:dyDescent="0.25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x14ac:dyDescent="0.25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x14ac:dyDescent="0.25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x14ac:dyDescent="0.25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x14ac:dyDescent="0.25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x14ac:dyDescent="0.25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x14ac:dyDescent="0.25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x14ac:dyDescent="0.25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x14ac:dyDescent="0.25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x14ac:dyDescent="0.25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x14ac:dyDescent="0.25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x14ac:dyDescent="0.25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x14ac:dyDescent="0.25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x14ac:dyDescent="0.25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x14ac:dyDescent="0.25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x14ac:dyDescent="0.25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x14ac:dyDescent="0.25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x14ac:dyDescent="0.25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x14ac:dyDescent="0.25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x14ac:dyDescent="0.25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x14ac:dyDescent="0.25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x14ac:dyDescent="0.25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x14ac:dyDescent="0.25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x14ac:dyDescent="0.25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x14ac:dyDescent="0.25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x14ac:dyDescent="0.25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x14ac:dyDescent="0.25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x14ac:dyDescent="0.25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x14ac:dyDescent="0.25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x14ac:dyDescent="0.25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x14ac:dyDescent="0.25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x14ac:dyDescent="0.25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x14ac:dyDescent="0.25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x14ac:dyDescent="0.25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x14ac:dyDescent="0.25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x14ac:dyDescent="0.25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x14ac:dyDescent="0.25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x14ac:dyDescent="0.25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x14ac:dyDescent="0.25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x14ac:dyDescent="0.25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x14ac:dyDescent="0.25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x14ac:dyDescent="0.25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x14ac:dyDescent="0.25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x14ac:dyDescent="0.25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x14ac:dyDescent="0.25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x14ac:dyDescent="0.25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x14ac:dyDescent="0.25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x14ac:dyDescent="0.25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x14ac:dyDescent="0.25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x14ac:dyDescent="0.25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x14ac:dyDescent="0.25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x14ac:dyDescent="0.25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x14ac:dyDescent="0.25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x14ac:dyDescent="0.25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x14ac:dyDescent="0.25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x14ac:dyDescent="0.25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x14ac:dyDescent="0.25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x14ac:dyDescent="0.25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x14ac:dyDescent="0.25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x14ac:dyDescent="0.25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x14ac:dyDescent="0.25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x14ac:dyDescent="0.25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x14ac:dyDescent="0.25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x14ac:dyDescent="0.25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x14ac:dyDescent="0.25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x14ac:dyDescent="0.25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x14ac:dyDescent="0.25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x14ac:dyDescent="0.25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x14ac:dyDescent="0.25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x14ac:dyDescent="0.25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x14ac:dyDescent="0.25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x14ac:dyDescent="0.25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x14ac:dyDescent="0.25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x14ac:dyDescent="0.25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x14ac:dyDescent="0.25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x14ac:dyDescent="0.25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x14ac:dyDescent="0.25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x14ac:dyDescent="0.25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x14ac:dyDescent="0.25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x14ac:dyDescent="0.25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x14ac:dyDescent="0.25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x14ac:dyDescent="0.25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x14ac:dyDescent="0.25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x14ac:dyDescent="0.25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x14ac:dyDescent="0.25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x14ac:dyDescent="0.25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x14ac:dyDescent="0.25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x14ac:dyDescent="0.25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x14ac:dyDescent="0.25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x14ac:dyDescent="0.25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x14ac:dyDescent="0.25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x14ac:dyDescent="0.25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x14ac:dyDescent="0.25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x14ac:dyDescent="0.25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x14ac:dyDescent="0.25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x14ac:dyDescent="0.25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x14ac:dyDescent="0.25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x14ac:dyDescent="0.25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x14ac:dyDescent="0.25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x14ac:dyDescent="0.25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x14ac:dyDescent="0.25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x14ac:dyDescent="0.25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x14ac:dyDescent="0.25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x14ac:dyDescent="0.25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x14ac:dyDescent="0.25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x14ac:dyDescent="0.25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x14ac:dyDescent="0.25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x14ac:dyDescent="0.25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x14ac:dyDescent="0.25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x14ac:dyDescent="0.25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x14ac:dyDescent="0.25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x14ac:dyDescent="0.25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x14ac:dyDescent="0.25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x14ac:dyDescent="0.25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x14ac:dyDescent="0.25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x14ac:dyDescent="0.25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x14ac:dyDescent="0.25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x14ac:dyDescent="0.25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x14ac:dyDescent="0.25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x14ac:dyDescent="0.25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x14ac:dyDescent="0.25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x14ac:dyDescent="0.25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x14ac:dyDescent="0.25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x14ac:dyDescent="0.25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x14ac:dyDescent="0.25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x14ac:dyDescent="0.25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x14ac:dyDescent="0.25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x14ac:dyDescent="0.25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x14ac:dyDescent="0.25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x14ac:dyDescent="0.25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x14ac:dyDescent="0.25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x14ac:dyDescent="0.25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x14ac:dyDescent="0.25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x14ac:dyDescent="0.25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x14ac:dyDescent="0.25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x14ac:dyDescent="0.25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x14ac:dyDescent="0.25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x14ac:dyDescent="0.25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x14ac:dyDescent="0.25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x14ac:dyDescent="0.25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x14ac:dyDescent="0.25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x14ac:dyDescent="0.25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x14ac:dyDescent="0.25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x14ac:dyDescent="0.25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x14ac:dyDescent="0.25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x14ac:dyDescent="0.25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x14ac:dyDescent="0.25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x14ac:dyDescent="0.25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x14ac:dyDescent="0.25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x14ac:dyDescent="0.25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x14ac:dyDescent="0.25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x14ac:dyDescent="0.25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x14ac:dyDescent="0.25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x14ac:dyDescent="0.25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x14ac:dyDescent="0.25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x14ac:dyDescent="0.25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x14ac:dyDescent="0.25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x14ac:dyDescent="0.25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x14ac:dyDescent="0.25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x14ac:dyDescent="0.25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x14ac:dyDescent="0.25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x14ac:dyDescent="0.25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x14ac:dyDescent="0.25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x14ac:dyDescent="0.25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x14ac:dyDescent="0.25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x14ac:dyDescent="0.25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x14ac:dyDescent="0.25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x14ac:dyDescent="0.25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x14ac:dyDescent="0.25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x14ac:dyDescent="0.25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x14ac:dyDescent="0.25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x14ac:dyDescent="0.25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x14ac:dyDescent="0.25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x14ac:dyDescent="0.25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x14ac:dyDescent="0.25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x14ac:dyDescent="0.25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x14ac:dyDescent="0.25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x14ac:dyDescent="0.25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x14ac:dyDescent="0.25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x14ac:dyDescent="0.25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x14ac:dyDescent="0.25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x14ac:dyDescent="0.25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x14ac:dyDescent="0.25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x14ac:dyDescent="0.25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x14ac:dyDescent="0.25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x14ac:dyDescent="0.25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x14ac:dyDescent="0.25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x14ac:dyDescent="0.25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x14ac:dyDescent="0.25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x14ac:dyDescent="0.25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x14ac:dyDescent="0.25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x14ac:dyDescent="0.25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x14ac:dyDescent="0.25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x14ac:dyDescent="0.25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x14ac:dyDescent="0.25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x14ac:dyDescent="0.25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x14ac:dyDescent="0.25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x14ac:dyDescent="0.25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x14ac:dyDescent="0.25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x14ac:dyDescent="0.25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x14ac:dyDescent="0.25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x14ac:dyDescent="0.25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x14ac:dyDescent="0.25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x14ac:dyDescent="0.25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x14ac:dyDescent="0.25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x14ac:dyDescent="0.25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x14ac:dyDescent="0.25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x14ac:dyDescent="0.25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x14ac:dyDescent="0.25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x14ac:dyDescent="0.25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x14ac:dyDescent="0.25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x14ac:dyDescent="0.25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x14ac:dyDescent="0.25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x14ac:dyDescent="0.25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x14ac:dyDescent="0.25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x14ac:dyDescent="0.25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x14ac:dyDescent="0.25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x14ac:dyDescent="0.25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x14ac:dyDescent="0.25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x14ac:dyDescent="0.25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x14ac:dyDescent="0.25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x14ac:dyDescent="0.25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x14ac:dyDescent="0.25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x14ac:dyDescent="0.25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x14ac:dyDescent="0.25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x14ac:dyDescent="0.25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x14ac:dyDescent="0.25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x14ac:dyDescent="0.25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x14ac:dyDescent="0.25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x14ac:dyDescent="0.25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x14ac:dyDescent="0.25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x14ac:dyDescent="0.25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x14ac:dyDescent="0.25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x14ac:dyDescent="0.25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x14ac:dyDescent="0.25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x14ac:dyDescent="0.25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x14ac:dyDescent="0.25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x14ac:dyDescent="0.25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x14ac:dyDescent="0.25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x14ac:dyDescent="0.25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x14ac:dyDescent="0.25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x14ac:dyDescent="0.25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x14ac:dyDescent="0.25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x14ac:dyDescent="0.25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x14ac:dyDescent="0.25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x14ac:dyDescent="0.25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x14ac:dyDescent="0.25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x14ac:dyDescent="0.25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x14ac:dyDescent="0.25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x14ac:dyDescent="0.25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x14ac:dyDescent="0.25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x14ac:dyDescent="0.25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x14ac:dyDescent="0.25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x14ac:dyDescent="0.25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x14ac:dyDescent="0.25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x14ac:dyDescent="0.25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x14ac:dyDescent="0.25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x14ac:dyDescent="0.25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x14ac:dyDescent="0.25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x14ac:dyDescent="0.25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x14ac:dyDescent="0.25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x14ac:dyDescent="0.25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x14ac:dyDescent="0.25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x14ac:dyDescent="0.25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x14ac:dyDescent="0.25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x14ac:dyDescent="0.25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x14ac:dyDescent="0.25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x14ac:dyDescent="0.25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x14ac:dyDescent="0.25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x14ac:dyDescent="0.25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x14ac:dyDescent="0.25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x14ac:dyDescent="0.25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x14ac:dyDescent="0.25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x14ac:dyDescent="0.25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x14ac:dyDescent="0.25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x14ac:dyDescent="0.25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x14ac:dyDescent="0.25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x14ac:dyDescent="0.25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x14ac:dyDescent="0.25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x14ac:dyDescent="0.25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x14ac:dyDescent="0.25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x14ac:dyDescent="0.25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x14ac:dyDescent="0.25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x14ac:dyDescent="0.25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x14ac:dyDescent="0.25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x14ac:dyDescent="0.25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x14ac:dyDescent="0.25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x14ac:dyDescent="0.25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x14ac:dyDescent="0.25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x14ac:dyDescent="0.25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x14ac:dyDescent="0.25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x14ac:dyDescent="0.25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x14ac:dyDescent="0.25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x14ac:dyDescent="0.25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x14ac:dyDescent="0.25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x14ac:dyDescent="0.25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x14ac:dyDescent="0.25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x14ac:dyDescent="0.25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x14ac:dyDescent="0.25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x14ac:dyDescent="0.25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x14ac:dyDescent="0.25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x14ac:dyDescent="0.25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x14ac:dyDescent="0.25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x14ac:dyDescent="0.25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x14ac:dyDescent="0.25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x14ac:dyDescent="0.25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x14ac:dyDescent="0.25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x14ac:dyDescent="0.25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x14ac:dyDescent="0.25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x14ac:dyDescent="0.25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x14ac:dyDescent="0.25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x14ac:dyDescent="0.25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x14ac:dyDescent="0.25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x14ac:dyDescent="0.25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x14ac:dyDescent="0.25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x14ac:dyDescent="0.25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x14ac:dyDescent="0.25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x14ac:dyDescent="0.25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x14ac:dyDescent="0.25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x14ac:dyDescent="0.25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x14ac:dyDescent="0.25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x14ac:dyDescent="0.25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x14ac:dyDescent="0.25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x14ac:dyDescent="0.25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x14ac:dyDescent="0.25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x14ac:dyDescent="0.25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x14ac:dyDescent="0.25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x14ac:dyDescent="0.25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x14ac:dyDescent="0.25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x14ac:dyDescent="0.25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x14ac:dyDescent="0.25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x14ac:dyDescent="0.25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x14ac:dyDescent="0.25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x14ac:dyDescent="0.25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x14ac:dyDescent="0.25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x14ac:dyDescent="0.25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x14ac:dyDescent="0.25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x14ac:dyDescent="0.25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x14ac:dyDescent="0.25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x14ac:dyDescent="0.25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x14ac:dyDescent="0.25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x14ac:dyDescent="0.25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x14ac:dyDescent="0.25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x14ac:dyDescent="0.25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x14ac:dyDescent="0.25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x14ac:dyDescent="0.25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x14ac:dyDescent="0.25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x14ac:dyDescent="0.25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x14ac:dyDescent="0.25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x14ac:dyDescent="0.25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x14ac:dyDescent="0.25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x14ac:dyDescent="0.25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x14ac:dyDescent="0.25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x14ac:dyDescent="0.25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x14ac:dyDescent="0.25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x14ac:dyDescent="0.25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x14ac:dyDescent="0.25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x14ac:dyDescent="0.25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x14ac:dyDescent="0.25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x14ac:dyDescent="0.25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x14ac:dyDescent="0.25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x14ac:dyDescent="0.25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x14ac:dyDescent="0.25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x14ac:dyDescent="0.25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x14ac:dyDescent="0.25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x14ac:dyDescent="0.25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x14ac:dyDescent="0.25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x14ac:dyDescent="0.25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x14ac:dyDescent="0.25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x14ac:dyDescent="0.25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x14ac:dyDescent="0.25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x14ac:dyDescent="0.25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x14ac:dyDescent="0.25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x14ac:dyDescent="0.25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x14ac:dyDescent="0.25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x14ac:dyDescent="0.25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x14ac:dyDescent="0.25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x14ac:dyDescent="0.25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x14ac:dyDescent="0.25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x14ac:dyDescent="0.25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x14ac:dyDescent="0.25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x14ac:dyDescent="0.25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x14ac:dyDescent="0.25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x14ac:dyDescent="0.25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x14ac:dyDescent="0.25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x14ac:dyDescent="0.25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x14ac:dyDescent="0.25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x14ac:dyDescent="0.25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x14ac:dyDescent="0.25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x14ac:dyDescent="0.25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x14ac:dyDescent="0.25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x14ac:dyDescent="0.25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x14ac:dyDescent="0.25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x14ac:dyDescent="0.25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x14ac:dyDescent="0.25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x14ac:dyDescent="0.25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x14ac:dyDescent="0.25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x14ac:dyDescent="0.25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x14ac:dyDescent="0.25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x14ac:dyDescent="0.25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x14ac:dyDescent="0.25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x14ac:dyDescent="0.25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x14ac:dyDescent="0.25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x14ac:dyDescent="0.25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x14ac:dyDescent="0.25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x14ac:dyDescent="0.25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x14ac:dyDescent="0.25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x14ac:dyDescent="0.25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x14ac:dyDescent="0.25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x14ac:dyDescent="0.25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x14ac:dyDescent="0.25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x14ac:dyDescent="0.25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x14ac:dyDescent="0.25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x14ac:dyDescent="0.25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x14ac:dyDescent="0.25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x14ac:dyDescent="0.25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x14ac:dyDescent="0.25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x14ac:dyDescent="0.25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x14ac:dyDescent="0.25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x14ac:dyDescent="0.25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x14ac:dyDescent="0.25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x14ac:dyDescent="0.25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x14ac:dyDescent="0.25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x14ac:dyDescent="0.25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x14ac:dyDescent="0.25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x14ac:dyDescent="0.25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x14ac:dyDescent="0.25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x14ac:dyDescent="0.25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x14ac:dyDescent="0.25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x14ac:dyDescent="0.25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x14ac:dyDescent="0.25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x14ac:dyDescent="0.25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x14ac:dyDescent="0.25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x14ac:dyDescent="0.25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x14ac:dyDescent="0.25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x14ac:dyDescent="0.25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x14ac:dyDescent="0.25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x14ac:dyDescent="0.25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x14ac:dyDescent="0.25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x14ac:dyDescent="0.25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x14ac:dyDescent="0.25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x14ac:dyDescent="0.25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x14ac:dyDescent="0.25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x14ac:dyDescent="0.25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x14ac:dyDescent="0.25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x14ac:dyDescent="0.25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x14ac:dyDescent="0.25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x14ac:dyDescent="0.25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x14ac:dyDescent="0.25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x14ac:dyDescent="0.25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x14ac:dyDescent="0.25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x14ac:dyDescent="0.25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x14ac:dyDescent="0.25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x14ac:dyDescent="0.25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x14ac:dyDescent="0.25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x14ac:dyDescent="0.25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x14ac:dyDescent="0.25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x14ac:dyDescent="0.25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x14ac:dyDescent="0.25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x14ac:dyDescent="0.25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x14ac:dyDescent="0.25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x14ac:dyDescent="0.25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x14ac:dyDescent="0.25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x14ac:dyDescent="0.25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x14ac:dyDescent="0.25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x14ac:dyDescent="0.25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x14ac:dyDescent="0.25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x14ac:dyDescent="0.25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x14ac:dyDescent="0.25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x14ac:dyDescent="0.25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x14ac:dyDescent="0.25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x14ac:dyDescent="0.25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x14ac:dyDescent="0.25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x14ac:dyDescent="0.25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x14ac:dyDescent="0.25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x14ac:dyDescent="0.25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x14ac:dyDescent="0.25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x14ac:dyDescent="0.25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x14ac:dyDescent="0.25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x14ac:dyDescent="0.25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x14ac:dyDescent="0.25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x14ac:dyDescent="0.25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x14ac:dyDescent="0.25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x14ac:dyDescent="0.25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x14ac:dyDescent="0.25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x14ac:dyDescent="0.25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x14ac:dyDescent="0.25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x14ac:dyDescent="0.25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x14ac:dyDescent="0.25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x14ac:dyDescent="0.25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x14ac:dyDescent="0.25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x14ac:dyDescent="0.25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x14ac:dyDescent="0.25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x14ac:dyDescent="0.25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x14ac:dyDescent="0.25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x14ac:dyDescent="0.25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x14ac:dyDescent="0.25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x14ac:dyDescent="0.25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x14ac:dyDescent="0.25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x14ac:dyDescent="0.25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x14ac:dyDescent="0.25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x14ac:dyDescent="0.25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x14ac:dyDescent="0.25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x14ac:dyDescent="0.25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x14ac:dyDescent="0.25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x14ac:dyDescent="0.25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x14ac:dyDescent="0.25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x14ac:dyDescent="0.25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x14ac:dyDescent="0.25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x14ac:dyDescent="0.25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x14ac:dyDescent="0.25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x14ac:dyDescent="0.25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x14ac:dyDescent="0.25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x14ac:dyDescent="0.25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x14ac:dyDescent="0.25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x14ac:dyDescent="0.25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x14ac:dyDescent="0.25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x14ac:dyDescent="0.25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x14ac:dyDescent="0.25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x14ac:dyDescent="0.25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x14ac:dyDescent="0.25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x14ac:dyDescent="0.25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x14ac:dyDescent="0.25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x14ac:dyDescent="0.25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x14ac:dyDescent="0.25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x14ac:dyDescent="0.25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x14ac:dyDescent="0.25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x14ac:dyDescent="0.25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x14ac:dyDescent="0.25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x14ac:dyDescent="0.25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x14ac:dyDescent="0.25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x14ac:dyDescent="0.25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x14ac:dyDescent="0.25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x14ac:dyDescent="0.25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x14ac:dyDescent="0.25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x14ac:dyDescent="0.25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x14ac:dyDescent="0.25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x14ac:dyDescent="0.25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x14ac:dyDescent="0.25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x14ac:dyDescent="0.25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x14ac:dyDescent="0.25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x14ac:dyDescent="0.25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x14ac:dyDescent="0.25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x14ac:dyDescent="0.25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x14ac:dyDescent="0.25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x14ac:dyDescent="0.25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x14ac:dyDescent="0.25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x14ac:dyDescent="0.25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x14ac:dyDescent="0.25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x14ac:dyDescent="0.25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x14ac:dyDescent="0.25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x14ac:dyDescent="0.25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x14ac:dyDescent="0.25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x14ac:dyDescent="0.25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x14ac:dyDescent="0.25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x14ac:dyDescent="0.25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x14ac:dyDescent="0.25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x14ac:dyDescent="0.25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x14ac:dyDescent="0.25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x14ac:dyDescent="0.25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x14ac:dyDescent="0.25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x14ac:dyDescent="0.25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x14ac:dyDescent="0.25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x14ac:dyDescent="0.25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x14ac:dyDescent="0.25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x14ac:dyDescent="0.25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x14ac:dyDescent="0.25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x14ac:dyDescent="0.25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x14ac:dyDescent="0.25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x14ac:dyDescent="0.25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x14ac:dyDescent="0.25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x14ac:dyDescent="0.25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x14ac:dyDescent="0.25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x14ac:dyDescent="0.25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x14ac:dyDescent="0.25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x14ac:dyDescent="0.25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x14ac:dyDescent="0.25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x14ac:dyDescent="0.25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x14ac:dyDescent="0.25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x14ac:dyDescent="0.25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x14ac:dyDescent="0.25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x14ac:dyDescent="0.25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x14ac:dyDescent="0.25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x14ac:dyDescent="0.25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x14ac:dyDescent="0.25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x14ac:dyDescent="0.25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x14ac:dyDescent="0.25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x14ac:dyDescent="0.25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x14ac:dyDescent="0.25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x14ac:dyDescent="0.25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x14ac:dyDescent="0.25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x14ac:dyDescent="0.25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x14ac:dyDescent="0.25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x14ac:dyDescent="0.25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x14ac:dyDescent="0.25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x14ac:dyDescent="0.25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x14ac:dyDescent="0.25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x14ac:dyDescent="0.25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x14ac:dyDescent="0.25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x14ac:dyDescent="0.25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x14ac:dyDescent="0.25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x14ac:dyDescent="0.25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x14ac:dyDescent="0.25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x14ac:dyDescent="0.25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x14ac:dyDescent="0.25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x14ac:dyDescent="0.25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x14ac:dyDescent="0.25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x14ac:dyDescent="0.25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x14ac:dyDescent="0.25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x14ac:dyDescent="0.25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x14ac:dyDescent="0.25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x14ac:dyDescent="0.25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x14ac:dyDescent="0.25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x14ac:dyDescent="0.25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x14ac:dyDescent="0.25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x14ac:dyDescent="0.25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x14ac:dyDescent="0.25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x14ac:dyDescent="0.25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x14ac:dyDescent="0.25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x14ac:dyDescent="0.25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x14ac:dyDescent="0.25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x14ac:dyDescent="0.25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x14ac:dyDescent="0.25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x14ac:dyDescent="0.25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x14ac:dyDescent="0.25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x14ac:dyDescent="0.25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x14ac:dyDescent="0.25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x14ac:dyDescent="0.25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x14ac:dyDescent="0.25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x14ac:dyDescent="0.25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x14ac:dyDescent="0.25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x14ac:dyDescent="0.25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x14ac:dyDescent="0.25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x14ac:dyDescent="0.25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x14ac:dyDescent="0.25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x14ac:dyDescent="0.25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x14ac:dyDescent="0.25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x14ac:dyDescent="0.25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x14ac:dyDescent="0.25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x14ac:dyDescent="0.25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x14ac:dyDescent="0.25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x14ac:dyDescent="0.25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x14ac:dyDescent="0.25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x14ac:dyDescent="0.25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x14ac:dyDescent="0.25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x14ac:dyDescent="0.25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x14ac:dyDescent="0.25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x14ac:dyDescent="0.25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x14ac:dyDescent="0.25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x14ac:dyDescent="0.25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x14ac:dyDescent="0.25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x14ac:dyDescent="0.25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x14ac:dyDescent="0.25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x14ac:dyDescent="0.25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x14ac:dyDescent="0.25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x14ac:dyDescent="0.25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x14ac:dyDescent="0.25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x14ac:dyDescent="0.25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x14ac:dyDescent="0.25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x14ac:dyDescent="0.25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x14ac:dyDescent="0.25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x14ac:dyDescent="0.25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x14ac:dyDescent="0.25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x14ac:dyDescent="0.25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x14ac:dyDescent="0.25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x14ac:dyDescent="0.25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x14ac:dyDescent="0.25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x14ac:dyDescent="0.25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x14ac:dyDescent="0.25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x14ac:dyDescent="0.25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x14ac:dyDescent="0.25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x14ac:dyDescent="0.25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x14ac:dyDescent="0.25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x14ac:dyDescent="0.25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x14ac:dyDescent="0.25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x14ac:dyDescent="0.25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x14ac:dyDescent="0.25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x14ac:dyDescent="0.25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x14ac:dyDescent="0.25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x14ac:dyDescent="0.25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x14ac:dyDescent="0.25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x14ac:dyDescent="0.25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x14ac:dyDescent="0.25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x14ac:dyDescent="0.25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x14ac:dyDescent="0.25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x14ac:dyDescent="0.25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x14ac:dyDescent="0.25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x14ac:dyDescent="0.25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x14ac:dyDescent="0.25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x14ac:dyDescent="0.25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x14ac:dyDescent="0.25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x14ac:dyDescent="0.25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x14ac:dyDescent="0.25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x14ac:dyDescent="0.25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x14ac:dyDescent="0.25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x14ac:dyDescent="0.25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x14ac:dyDescent="0.25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x14ac:dyDescent="0.25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x14ac:dyDescent="0.25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x14ac:dyDescent="0.25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x14ac:dyDescent="0.25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x14ac:dyDescent="0.25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x14ac:dyDescent="0.25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x14ac:dyDescent="0.25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x14ac:dyDescent="0.25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x14ac:dyDescent="0.25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x14ac:dyDescent="0.25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x14ac:dyDescent="0.25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x14ac:dyDescent="0.25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x14ac:dyDescent="0.25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x14ac:dyDescent="0.25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x14ac:dyDescent="0.25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x14ac:dyDescent="0.25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x14ac:dyDescent="0.25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x14ac:dyDescent="0.25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x14ac:dyDescent="0.25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x14ac:dyDescent="0.25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x14ac:dyDescent="0.25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x14ac:dyDescent="0.25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x14ac:dyDescent="0.25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x14ac:dyDescent="0.25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x14ac:dyDescent="0.25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x14ac:dyDescent="0.25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x14ac:dyDescent="0.25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x14ac:dyDescent="0.25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x14ac:dyDescent="0.25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D1:H1"/>
    <mergeCell ref="I1:N1"/>
    <mergeCell ref="O1:P1"/>
  </mergeCells>
  <conditionalFormatting sqref="D4:P6">
    <cfRule type="containsText" dxfId="17" priority="1" operator="containsText" text="OK">
      <formula>NOT(ISERROR(SEARCH(("OK"),(D4))))</formula>
    </cfRule>
  </conditionalFormatting>
  <conditionalFormatting sqref="D4:P6">
    <cfRule type="containsText" dxfId="16" priority="2" operator="containsText" text="ERROR">
      <formula>NOT(ISERROR(SEARCH(("ERROR"),(D4))))</formula>
    </cfRule>
  </conditionalFormatting>
  <conditionalFormatting sqref="G10:H10">
    <cfRule type="containsText" dxfId="15" priority="3" operator="containsText" text="OK">
      <formula>NOT(ISERROR(SEARCH(("OK"),(G10))))</formula>
    </cfRule>
  </conditionalFormatting>
  <conditionalFormatting sqref="G10:H10">
    <cfRule type="containsText" dxfId="14" priority="4" operator="containsText" text="ERROR">
      <formula>NOT(ISERROR(SEARCH(("ERROR"),(G10))))</formula>
    </cfRule>
  </conditionalFormatting>
  <conditionalFormatting sqref="J10">
    <cfRule type="containsText" dxfId="13" priority="5" operator="containsText" text="OK">
      <formula>NOT(ISERROR(SEARCH(("OK"),(J10))))</formula>
    </cfRule>
  </conditionalFormatting>
  <conditionalFormatting sqref="J10">
    <cfRule type="containsText" dxfId="12" priority="6" operator="containsText" text="ERROR">
      <formula>NOT(ISERROR(SEARCH(("ERROR"),(J10))))</formula>
    </cfRule>
  </conditionalFormatting>
  <conditionalFormatting sqref="O5">
    <cfRule type="containsText" dxfId="11" priority="7" operator="containsText" text="OK">
      <formula>NOT(ISERROR(SEARCH(("OK"),(O5))))</formula>
    </cfRule>
  </conditionalFormatting>
  <conditionalFormatting sqref="O5">
    <cfRule type="containsText" dxfId="10" priority="8" operator="containsText" text="ERROR">
      <formula>NOT(ISERROR(SEARCH(("ERROR"),(O5))))</formula>
    </cfRule>
  </conditionalFormatting>
  <conditionalFormatting sqref="O4:P6">
    <cfRule type="containsText" dxfId="9" priority="9" operator="containsText" text="OK">
      <formula>NOT(ISERROR(SEARCH(("OK"),(O4))))</formula>
    </cfRule>
  </conditionalFormatting>
  <conditionalFormatting sqref="O4:P6">
    <cfRule type="containsText" dxfId="8" priority="10" operator="containsText" text="ERROR">
      <formula>NOT(ISERROR(SEARCH(("ERROR"),(O4))))</formula>
    </cfRule>
  </conditionalFormatting>
  <dataValidations count="1">
    <dataValidation type="list" allowBlank="1" showErrorMessage="1" sqref="I10" xr:uid="{00000000-0002-0000-0200-000000000000}">
      <formula1>"1,2"</formula1>
    </dataValidation>
  </dataValidations>
  <pageMargins left="0.7" right="0.7" top="0.75" bottom="0.75" header="0" footer="0"/>
  <pageSetup scale="82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xSplit="3" ySplit="6" topLeftCell="E146" activePane="bottomRight" state="frozen"/>
      <selection pane="topRight" activeCell="D1" sqref="D1"/>
      <selection pane="bottomLeft" activeCell="A7" sqref="A7"/>
      <selection pane="bottomRight" activeCell="E178" sqref="E178"/>
    </sheetView>
  </sheetViews>
  <sheetFormatPr defaultColWidth="12.5703125" defaultRowHeight="15" customHeight="1" outlineLevelRow="1" x14ac:dyDescent="0.2"/>
  <cols>
    <col min="1" max="16" width="14.42578125" customWidth="1"/>
    <col min="17" max="26" width="9.140625" customWidth="1"/>
  </cols>
  <sheetData>
    <row r="1" spans="1:26" ht="15.75" x14ac:dyDescent="0.25">
      <c r="A1" s="97"/>
      <c r="B1" s="98"/>
      <c r="C1" s="99"/>
      <c r="D1" s="175" t="s">
        <v>257</v>
      </c>
      <c r="E1" s="170"/>
      <c r="F1" s="170"/>
      <c r="G1" s="170"/>
      <c r="H1" s="171"/>
      <c r="I1" s="174" t="s">
        <v>154</v>
      </c>
      <c r="J1" s="170"/>
      <c r="K1" s="170"/>
      <c r="L1" s="170"/>
      <c r="M1" s="170"/>
      <c r="N1" s="171"/>
      <c r="O1" s="176" t="s">
        <v>258</v>
      </c>
      <c r="P1" s="171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1" customHeight="1" x14ac:dyDescent="0.35">
      <c r="A2" s="1" t="str">
        <f>'M&amp;A Assumptions &amp; Analysis'!D7&amp;" Model"</f>
        <v>Brick 'n' Mortar Co Model</v>
      </c>
      <c r="B2" s="2"/>
      <c r="C2" s="3"/>
      <c r="D2" s="153">
        <v>2020</v>
      </c>
      <c r="E2" s="153">
        <f t="shared" ref="E2:N2" si="0">+D2+1</f>
        <v>2021</v>
      </c>
      <c r="F2" s="153">
        <f t="shared" si="0"/>
        <v>2022</v>
      </c>
      <c r="G2" s="153">
        <f t="shared" si="0"/>
        <v>2023</v>
      </c>
      <c r="H2" s="153">
        <f t="shared" si="0"/>
        <v>2024</v>
      </c>
      <c r="I2" s="5">
        <f t="shared" si="0"/>
        <v>2025</v>
      </c>
      <c r="J2" s="5">
        <f t="shared" si="0"/>
        <v>2026</v>
      </c>
      <c r="K2" s="5">
        <f t="shared" si="0"/>
        <v>2027</v>
      </c>
      <c r="L2" s="5">
        <f t="shared" si="0"/>
        <v>2028</v>
      </c>
      <c r="M2" s="5">
        <f t="shared" si="0"/>
        <v>2029</v>
      </c>
      <c r="N2" s="5">
        <f t="shared" si="0"/>
        <v>2030</v>
      </c>
      <c r="O2" s="154">
        <f t="shared" ref="O2:P2" si="1">+O4</f>
        <v>45838</v>
      </c>
      <c r="P2" s="154">
        <f t="shared" si="1"/>
        <v>46022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outlineLevel="1" x14ac:dyDescent="0.25">
      <c r="A3" s="104" t="s">
        <v>157</v>
      </c>
      <c r="B3" s="104"/>
      <c r="C3" s="155"/>
      <c r="D3" s="8" t="str">
        <f t="shared" ref="D3:N3" si="2">IFERROR(IF(ABS(D101)&gt;1,"ERROR","ok"),"ok")</f>
        <v>ok</v>
      </c>
      <c r="E3" s="8" t="str">
        <f t="shared" si="2"/>
        <v>ok</v>
      </c>
      <c r="F3" s="8" t="str">
        <f t="shared" si="2"/>
        <v>ok</v>
      </c>
      <c r="G3" s="8" t="str">
        <f t="shared" si="2"/>
        <v>ok</v>
      </c>
      <c r="H3" s="8" t="str">
        <f t="shared" si="2"/>
        <v>ok</v>
      </c>
      <c r="I3" s="8" t="str">
        <f t="shared" si="2"/>
        <v>ok</v>
      </c>
      <c r="J3" s="8" t="str">
        <f t="shared" si="2"/>
        <v>ok</v>
      </c>
      <c r="K3" s="8" t="str">
        <f t="shared" si="2"/>
        <v>ok</v>
      </c>
      <c r="L3" s="8" t="str">
        <f t="shared" si="2"/>
        <v>ok</v>
      </c>
      <c r="M3" s="8" t="str">
        <f t="shared" si="2"/>
        <v>ok</v>
      </c>
      <c r="N3" s="8" t="str">
        <f t="shared" si="2"/>
        <v>ok</v>
      </c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outlineLevel="1" x14ac:dyDescent="0.25">
      <c r="A4" s="50" t="s">
        <v>158</v>
      </c>
      <c r="B4" s="6"/>
      <c r="C4" s="7"/>
      <c r="D4" s="105">
        <v>41274</v>
      </c>
      <c r="E4" s="106">
        <f t="shared" ref="E4:N4" si="3">EOMONTH(D4,12)</f>
        <v>41639</v>
      </c>
      <c r="F4" s="106">
        <f t="shared" si="3"/>
        <v>42004</v>
      </c>
      <c r="G4" s="106">
        <f t="shared" si="3"/>
        <v>42369</v>
      </c>
      <c r="H4" s="106">
        <f t="shared" si="3"/>
        <v>42735</v>
      </c>
      <c r="I4" s="106">
        <f t="shared" si="3"/>
        <v>43100</v>
      </c>
      <c r="J4" s="106">
        <f t="shared" si="3"/>
        <v>43465</v>
      </c>
      <c r="K4" s="106">
        <f t="shared" si="3"/>
        <v>43830</v>
      </c>
      <c r="L4" s="106">
        <f t="shared" si="3"/>
        <v>44196</v>
      </c>
      <c r="M4" s="106">
        <f t="shared" si="3"/>
        <v>44561</v>
      </c>
      <c r="N4" s="106">
        <f t="shared" si="3"/>
        <v>44926</v>
      </c>
      <c r="O4" s="156">
        <f>+'M&amp;A Assumptions &amp; Analysis'!D10</f>
        <v>45838</v>
      </c>
      <c r="P4" s="106">
        <f>+EOMONTH(O4,P6*12)</f>
        <v>46022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outlineLevel="1" x14ac:dyDescent="0.25">
      <c r="A5" s="50" t="s">
        <v>159</v>
      </c>
      <c r="B5" s="6"/>
      <c r="C5" s="7"/>
      <c r="D5" s="107">
        <v>366</v>
      </c>
      <c r="E5" s="8">
        <f t="shared" ref="E5:N5" si="4">E4-D4</f>
        <v>365</v>
      </c>
      <c r="F5" s="8">
        <f t="shared" si="4"/>
        <v>365</v>
      </c>
      <c r="G5" s="8">
        <f t="shared" si="4"/>
        <v>365</v>
      </c>
      <c r="H5" s="8">
        <f t="shared" si="4"/>
        <v>366</v>
      </c>
      <c r="I5" s="8">
        <f t="shared" si="4"/>
        <v>365</v>
      </c>
      <c r="J5" s="8">
        <f t="shared" si="4"/>
        <v>365</v>
      </c>
      <c r="K5" s="8">
        <f t="shared" si="4"/>
        <v>365</v>
      </c>
      <c r="L5" s="8">
        <f t="shared" si="4"/>
        <v>366</v>
      </c>
      <c r="M5" s="8">
        <f t="shared" si="4"/>
        <v>365</v>
      </c>
      <c r="N5" s="8">
        <f t="shared" si="4"/>
        <v>365</v>
      </c>
      <c r="O5" s="8">
        <f>+O4-H4</f>
        <v>3103</v>
      </c>
      <c r="P5" s="108">
        <f>+P4-O4</f>
        <v>184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outlineLevel="1" x14ac:dyDescent="0.25">
      <c r="A6" s="50" t="s">
        <v>160</v>
      </c>
      <c r="B6" s="6"/>
      <c r="C6" s="7"/>
      <c r="D6" s="109">
        <v>1</v>
      </c>
      <c r="E6" s="157">
        <f t="shared" ref="E6:N6" si="5">D6</f>
        <v>1</v>
      </c>
      <c r="F6" s="157">
        <f t="shared" si="5"/>
        <v>1</v>
      </c>
      <c r="G6" s="157">
        <f t="shared" si="5"/>
        <v>1</v>
      </c>
      <c r="H6" s="157">
        <f t="shared" si="5"/>
        <v>1</v>
      </c>
      <c r="I6" s="157">
        <f t="shared" si="5"/>
        <v>1</v>
      </c>
      <c r="J6" s="157">
        <f t="shared" si="5"/>
        <v>1</v>
      </c>
      <c r="K6" s="157">
        <f t="shared" si="5"/>
        <v>1</v>
      </c>
      <c r="L6" s="157">
        <f t="shared" si="5"/>
        <v>1</v>
      </c>
      <c r="M6" s="157">
        <f t="shared" si="5"/>
        <v>1</v>
      </c>
      <c r="N6" s="157">
        <f t="shared" si="5"/>
        <v>1</v>
      </c>
      <c r="O6" s="110">
        <v>0.5</v>
      </c>
      <c r="P6" s="157">
        <f>1-O6</f>
        <v>0.5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" x14ac:dyDescent="0.35">
      <c r="A8" s="9" t="s">
        <v>0</v>
      </c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outlineLevel="1" x14ac:dyDescent="0.25">
      <c r="A9" s="6"/>
      <c r="B9" s="6"/>
      <c r="C9" s="7"/>
      <c r="D9" s="6"/>
      <c r="E9" s="6"/>
      <c r="F9" s="6"/>
      <c r="G9" s="6"/>
      <c r="H9" s="6"/>
      <c r="I9" s="19"/>
      <c r="J9" s="19"/>
      <c r="K9" s="19"/>
      <c r="L9" s="19"/>
      <c r="M9" s="19"/>
      <c r="N9" s="1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outlineLevel="1" x14ac:dyDescent="0.25">
      <c r="A10" s="6"/>
      <c r="B10" s="6"/>
      <c r="C10" s="7"/>
      <c r="D10" s="6"/>
      <c r="E10" s="6"/>
      <c r="F10" s="6"/>
      <c r="G10" s="8"/>
      <c r="H10" s="8" t="s">
        <v>259</v>
      </c>
      <c r="I10" s="164">
        <v>1</v>
      </c>
      <c r="J10" s="8"/>
      <c r="K10" s="6"/>
      <c r="L10" s="19"/>
      <c r="M10" s="19"/>
      <c r="N10" s="1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outlineLevel="1" x14ac:dyDescent="0.25">
      <c r="A11" s="6"/>
      <c r="B11" s="6"/>
      <c r="C11" s="7"/>
      <c r="D11" s="6"/>
      <c r="E11" s="6"/>
      <c r="F11" s="6"/>
      <c r="G11" s="6"/>
      <c r="H11" s="6"/>
      <c r="I11" s="19"/>
      <c r="J11" s="19"/>
      <c r="K11" s="19"/>
      <c r="L11" s="19"/>
      <c r="M11" s="19"/>
      <c r="N11" s="1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outlineLevel="1" x14ac:dyDescent="0.25">
      <c r="A12" s="25" t="s">
        <v>260</v>
      </c>
      <c r="B12" s="6"/>
      <c r="C12" s="7"/>
      <c r="D12" s="6"/>
      <c r="E12" s="6"/>
      <c r="F12" s="6"/>
      <c r="G12" s="6"/>
      <c r="H12" s="159"/>
      <c r="I12" s="160"/>
      <c r="J12" s="160"/>
      <c r="K12" s="160"/>
      <c r="L12" s="160"/>
      <c r="M12" s="160"/>
      <c r="N12" s="16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outlineLevel="1" x14ac:dyDescent="0.25">
      <c r="A13" s="26" t="s">
        <v>162</v>
      </c>
      <c r="B13" s="35"/>
      <c r="C13" s="49"/>
      <c r="D13" s="35"/>
      <c r="E13" s="93"/>
      <c r="F13" s="93"/>
      <c r="G13" s="93"/>
      <c r="H13" s="93"/>
      <c r="I13" s="161">
        <v>0.15</v>
      </c>
      <c r="J13" s="161">
        <v>0.15</v>
      </c>
      <c r="K13" s="161">
        <v>0.12</v>
      </c>
      <c r="L13" s="161">
        <v>0.1</v>
      </c>
      <c r="M13" s="161">
        <v>0.08</v>
      </c>
      <c r="N13" s="161">
        <v>0.06</v>
      </c>
      <c r="O13" s="161">
        <v>0.15</v>
      </c>
      <c r="P13" s="161">
        <v>0.15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outlineLevel="1" x14ac:dyDescent="0.25">
      <c r="A14" s="6" t="s">
        <v>163</v>
      </c>
      <c r="B14" s="6"/>
      <c r="C14" s="7"/>
      <c r="D14" s="44"/>
      <c r="E14" s="44"/>
      <c r="F14" s="44"/>
      <c r="G14" s="44"/>
      <c r="H14" s="44"/>
      <c r="I14" s="118">
        <v>0.42</v>
      </c>
      <c r="J14" s="118">
        <v>0.41</v>
      </c>
      <c r="K14" s="118">
        <v>0.4</v>
      </c>
      <c r="L14" s="118">
        <v>0.4</v>
      </c>
      <c r="M14" s="118">
        <v>0.4</v>
      </c>
      <c r="N14" s="118">
        <v>0.4</v>
      </c>
      <c r="O14" s="118">
        <v>0.42</v>
      </c>
      <c r="P14" s="118">
        <v>0.42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outlineLevel="1" x14ac:dyDescent="0.25">
      <c r="A15" s="6" t="s">
        <v>261</v>
      </c>
      <c r="B15" s="6"/>
      <c r="C15" s="7"/>
      <c r="D15" s="44"/>
      <c r="E15" s="44"/>
      <c r="F15" s="44"/>
      <c r="G15" s="44"/>
      <c r="H15" s="44"/>
      <c r="I15" s="118">
        <v>0.16</v>
      </c>
      <c r="J15" s="118">
        <v>0.16</v>
      </c>
      <c r="K15" s="118">
        <v>0.16</v>
      </c>
      <c r="L15" s="118">
        <v>0.16</v>
      </c>
      <c r="M15" s="118">
        <v>0.16</v>
      </c>
      <c r="N15" s="118">
        <v>0.16</v>
      </c>
      <c r="O15" s="118">
        <v>0.16</v>
      </c>
      <c r="P15" s="118">
        <v>0.16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outlineLevel="1" x14ac:dyDescent="0.25">
      <c r="A16" s="6" t="s">
        <v>262</v>
      </c>
      <c r="B16" s="6"/>
      <c r="C16" s="7"/>
      <c r="D16" s="6"/>
      <c r="E16" s="6"/>
      <c r="F16" s="6"/>
      <c r="G16" s="6"/>
      <c r="H16" s="6"/>
      <c r="I16" s="121">
        <v>7000</v>
      </c>
      <c r="J16" s="121">
        <v>7000</v>
      </c>
      <c r="K16" s="121">
        <v>7000</v>
      </c>
      <c r="L16" s="121">
        <v>7000</v>
      </c>
      <c r="M16" s="121">
        <v>7000</v>
      </c>
      <c r="N16" s="121">
        <v>7000</v>
      </c>
      <c r="O16" s="121">
        <v>7000</v>
      </c>
      <c r="P16" s="121">
        <v>7000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outlineLevel="1" x14ac:dyDescent="0.25">
      <c r="A17" s="6" t="s">
        <v>165</v>
      </c>
      <c r="B17" s="6"/>
      <c r="C17" s="7"/>
      <c r="D17" s="44"/>
      <c r="E17" s="44"/>
      <c r="F17" s="44"/>
      <c r="G17" s="44"/>
      <c r="H17" s="44"/>
      <c r="I17" s="118">
        <v>0.2</v>
      </c>
      <c r="J17" s="118">
        <v>0.2</v>
      </c>
      <c r="K17" s="118">
        <v>0.2</v>
      </c>
      <c r="L17" s="118">
        <v>0.2</v>
      </c>
      <c r="M17" s="118">
        <v>0.2</v>
      </c>
      <c r="N17" s="118">
        <v>0.2</v>
      </c>
      <c r="O17" s="118">
        <v>0.2</v>
      </c>
      <c r="P17" s="118">
        <v>0.2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outlineLevel="1" x14ac:dyDescent="0.25">
      <c r="A18" s="6" t="s">
        <v>263</v>
      </c>
      <c r="B18" s="6"/>
      <c r="C18" s="7"/>
      <c r="D18" s="44"/>
      <c r="E18" s="44"/>
      <c r="F18" s="44"/>
      <c r="G18" s="44"/>
      <c r="H18" s="44"/>
      <c r="I18" s="118">
        <v>0.08</v>
      </c>
      <c r="J18" s="118">
        <v>0.08</v>
      </c>
      <c r="K18" s="118">
        <v>0.08</v>
      </c>
      <c r="L18" s="118">
        <v>0.08</v>
      </c>
      <c r="M18" s="118">
        <v>0.08</v>
      </c>
      <c r="N18" s="118">
        <v>0.08</v>
      </c>
      <c r="O18" s="118">
        <v>0.08</v>
      </c>
      <c r="P18" s="118">
        <v>0.08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outlineLevel="1" x14ac:dyDescent="0.25">
      <c r="A19" s="6" t="s">
        <v>166</v>
      </c>
      <c r="B19" s="50"/>
      <c r="C19" s="54"/>
      <c r="D19" s="44"/>
      <c r="E19" s="44"/>
      <c r="F19" s="44"/>
      <c r="G19" s="44"/>
      <c r="H19" s="44"/>
      <c r="I19" s="118">
        <v>0.32</v>
      </c>
      <c r="J19" s="118">
        <v>0.32</v>
      </c>
      <c r="K19" s="118">
        <v>0.32</v>
      </c>
      <c r="L19" s="118">
        <v>0.32</v>
      </c>
      <c r="M19" s="118">
        <v>0.32</v>
      </c>
      <c r="N19" s="118">
        <v>0.32</v>
      </c>
      <c r="O19" s="118">
        <v>0.32</v>
      </c>
      <c r="P19" s="118">
        <v>0.32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outlineLevel="1" x14ac:dyDescent="0.25">
      <c r="A20" s="6" t="s">
        <v>167</v>
      </c>
      <c r="B20" s="6"/>
      <c r="C20" s="120"/>
      <c r="D20" s="6"/>
      <c r="E20" s="6"/>
      <c r="F20" s="6"/>
      <c r="G20" s="6"/>
      <c r="H20" s="6"/>
      <c r="I20" s="121">
        <v>22</v>
      </c>
      <c r="J20" s="121">
        <v>18</v>
      </c>
      <c r="K20" s="121">
        <v>18</v>
      </c>
      <c r="L20" s="121">
        <v>18</v>
      </c>
      <c r="M20" s="121">
        <v>18</v>
      </c>
      <c r="N20" s="121">
        <v>18</v>
      </c>
      <c r="O20" s="121">
        <v>22</v>
      </c>
      <c r="P20" s="121">
        <v>22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outlineLevel="1" x14ac:dyDescent="0.25">
      <c r="A21" s="6" t="s">
        <v>168</v>
      </c>
      <c r="B21" s="6"/>
      <c r="C21" s="120"/>
      <c r="D21" s="6"/>
      <c r="E21" s="6"/>
      <c r="F21" s="6"/>
      <c r="G21" s="6"/>
      <c r="H21" s="6"/>
      <c r="I21" s="121">
        <v>75</v>
      </c>
      <c r="J21" s="121">
        <v>75</v>
      </c>
      <c r="K21" s="121">
        <v>75</v>
      </c>
      <c r="L21" s="121">
        <v>75</v>
      </c>
      <c r="M21" s="121">
        <v>75</v>
      </c>
      <c r="N21" s="121">
        <v>75</v>
      </c>
      <c r="O21" s="121">
        <v>75</v>
      </c>
      <c r="P21" s="121">
        <v>75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outlineLevel="1" x14ac:dyDescent="0.25">
      <c r="A22" s="6" t="s">
        <v>169</v>
      </c>
      <c r="B22" s="6"/>
      <c r="C22" s="120"/>
      <c r="D22" s="6"/>
      <c r="E22" s="6"/>
      <c r="F22" s="6"/>
      <c r="G22" s="6"/>
      <c r="H22" s="6"/>
      <c r="I22" s="121">
        <v>39</v>
      </c>
      <c r="J22" s="121">
        <v>39</v>
      </c>
      <c r="K22" s="121">
        <v>39</v>
      </c>
      <c r="L22" s="121">
        <v>39</v>
      </c>
      <c r="M22" s="121">
        <v>39</v>
      </c>
      <c r="N22" s="121">
        <v>39</v>
      </c>
      <c r="O22" s="121">
        <v>39</v>
      </c>
      <c r="P22" s="121">
        <v>39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outlineLevel="1" x14ac:dyDescent="0.25">
      <c r="A23" s="6" t="s">
        <v>264</v>
      </c>
      <c r="B23" s="6"/>
      <c r="C23" s="7"/>
      <c r="D23" s="6"/>
      <c r="E23" s="6"/>
      <c r="F23" s="6"/>
      <c r="G23" s="6"/>
      <c r="H23" s="6"/>
      <c r="I23" s="121">
        <v>5750</v>
      </c>
      <c r="J23" s="121">
        <v>5750</v>
      </c>
      <c r="K23" s="121">
        <v>5750</v>
      </c>
      <c r="L23" s="121">
        <v>5750</v>
      </c>
      <c r="M23" s="121">
        <v>5750</v>
      </c>
      <c r="N23" s="121">
        <v>5750</v>
      </c>
      <c r="O23" s="121">
        <v>5750</v>
      </c>
      <c r="P23" s="121">
        <v>5750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outlineLevel="1" x14ac:dyDescent="0.25">
      <c r="A24" s="6" t="s">
        <v>265</v>
      </c>
      <c r="B24" s="6"/>
      <c r="C24" s="7"/>
      <c r="D24" s="6"/>
      <c r="E24" s="6"/>
      <c r="F24" s="6"/>
      <c r="G24" s="6"/>
      <c r="H24" s="6"/>
      <c r="I24" s="121">
        <v>0</v>
      </c>
      <c r="J24" s="121">
        <v>0</v>
      </c>
      <c r="K24" s="121">
        <v>0</v>
      </c>
      <c r="L24" s="121">
        <v>0</v>
      </c>
      <c r="M24" s="121">
        <v>0</v>
      </c>
      <c r="N24" s="121">
        <v>-10000</v>
      </c>
      <c r="O24" s="121">
        <v>0</v>
      </c>
      <c r="P24" s="121"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outlineLevel="1" x14ac:dyDescent="0.25">
      <c r="A25" s="6" t="s">
        <v>170</v>
      </c>
      <c r="B25" s="6"/>
      <c r="C25" s="7"/>
      <c r="D25" s="6"/>
      <c r="E25" s="6"/>
      <c r="F25" s="6"/>
      <c r="G25" s="6"/>
      <c r="H25" s="6"/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outlineLevel="1" x14ac:dyDescent="0.25">
      <c r="A26" s="6" t="s">
        <v>198</v>
      </c>
      <c r="B26" s="6"/>
      <c r="C26" s="7"/>
      <c r="D26" s="6"/>
      <c r="E26" s="6"/>
      <c r="F26" s="6"/>
      <c r="G26" s="6"/>
      <c r="H26" s="6"/>
      <c r="I26" s="121">
        <v>0</v>
      </c>
      <c r="J26" s="121">
        <v>0</v>
      </c>
      <c r="K26" s="121">
        <v>0</v>
      </c>
      <c r="L26" s="121">
        <v>0</v>
      </c>
      <c r="M26" s="121">
        <v>200</v>
      </c>
      <c r="N26" s="121">
        <v>200</v>
      </c>
      <c r="O26" s="121">
        <v>0</v>
      </c>
      <c r="P26" s="121"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outlineLevel="1" x14ac:dyDescent="0.25">
      <c r="A27" s="6"/>
      <c r="B27" s="6"/>
      <c r="C27" s="7"/>
      <c r="D27" s="6"/>
      <c r="E27" s="6"/>
      <c r="F27" s="6"/>
      <c r="G27" s="6"/>
      <c r="H27" s="6"/>
      <c r="I27" s="19"/>
      <c r="J27" s="19"/>
      <c r="K27" s="19"/>
      <c r="L27" s="19"/>
      <c r="M27" s="19"/>
      <c r="N27" s="1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outlineLevel="1" x14ac:dyDescent="0.25">
      <c r="A28" s="25" t="s">
        <v>266</v>
      </c>
      <c r="B28" s="6"/>
      <c r="C28" s="7"/>
      <c r="D28" s="6"/>
      <c r="E28" s="6"/>
      <c r="F28" s="6"/>
      <c r="G28" s="6"/>
      <c r="H28" s="159"/>
      <c r="I28" s="160"/>
      <c r="J28" s="160"/>
      <c r="K28" s="160"/>
      <c r="L28" s="160"/>
      <c r="M28" s="160"/>
      <c r="N28" s="160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outlineLevel="1" x14ac:dyDescent="0.25">
      <c r="A29" s="26" t="s">
        <v>162</v>
      </c>
      <c r="B29" s="35"/>
      <c r="C29" s="49"/>
      <c r="D29" s="35"/>
      <c r="E29" s="93"/>
      <c r="F29" s="93"/>
      <c r="G29" s="93"/>
      <c r="H29" s="93"/>
      <c r="I29" s="161">
        <v>0.05</v>
      </c>
      <c r="J29" s="161">
        <v>4.4999999999999998E-2</v>
      </c>
      <c r="K29" s="161">
        <v>0.04</v>
      </c>
      <c r="L29" s="161">
        <v>3.5000000000000003E-2</v>
      </c>
      <c r="M29" s="161">
        <v>0.03</v>
      </c>
      <c r="N29" s="161">
        <v>0.03</v>
      </c>
      <c r="O29" s="161">
        <v>0.05</v>
      </c>
      <c r="P29" s="161">
        <v>0.05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outlineLevel="1" x14ac:dyDescent="0.25">
      <c r="A30" s="6" t="s">
        <v>163</v>
      </c>
      <c r="B30" s="6"/>
      <c r="C30" s="7"/>
      <c r="D30" s="44"/>
      <c r="E30" s="44"/>
      <c r="F30" s="44"/>
      <c r="G30" s="44"/>
      <c r="H30" s="44"/>
      <c r="I30" s="118">
        <v>0.37</v>
      </c>
      <c r="J30" s="118">
        <v>0.37</v>
      </c>
      <c r="K30" s="118">
        <v>0.36</v>
      </c>
      <c r="L30" s="118">
        <v>0.36</v>
      </c>
      <c r="M30" s="118">
        <v>0.35</v>
      </c>
      <c r="N30" s="118">
        <v>0.35</v>
      </c>
      <c r="O30" s="118">
        <v>0.37</v>
      </c>
      <c r="P30" s="118">
        <v>0.37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outlineLevel="1" x14ac:dyDescent="0.25">
      <c r="A31" s="6" t="s">
        <v>261</v>
      </c>
      <c r="B31" s="6"/>
      <c r="C31" s="7"/>
      <c r="D31" s="44"/>
      <c r="E31" s="44"/>
      <c r="F31" s="44"/>
      <c r="G31" s="44"/>
      <c r="H31" s="44"/>
      <c r="I31" s="118">
        <v>0.17</v>
      </c>
      <c r="J31" s="118">
        <v>0.17</v>
      </c>
      <c r="K31" s="118">
        <v>0.17</v>
      </c>
      <c r="L31" s="118">
        <v>0.17</v>
      </c>
      <c r="M31" s="118">
        <v>0.17</v>
      </c>
      <c r="N31" s="118">
        <v>0.17</v>
      </c>
      <c r="O31" s="118">
        <v>0.17</v>
      </c>
      <c r="P31" s="118">
        <v>0.17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outlineLevel="1" x14ac:dyDescent="0.25">
      <c r="A32" s="6" t="s">
        <v>262</v>
      </c>
      <c r="B32" s="6"/>
      <c r="C32" s="7"/>
      <c r="D32" s="6"/>
      <c r="E32" s="6"/>
      <c r="F32" s="6"/>
      <c r="G32" s="6"/>
      <c r="H32" s="6"/>
      <c r="I32" s="121">
        <v>10000</v>
      </c>
      <c r="J32" s="121">
        <v>10000</v>
      </c>
      <c r="K32" s="121">
        <v>10000</v>
      </c>
      <c r="L32" s="121">
        <v>10000</v>
      </c>
      <c r="M32" s="121">
        <v>10000</v>
      </c>
      <c r="N32" s="121">
        <v>10000</v>
      </c>
      <c r="O32" s="121">
        <v>10000</v>
      </c>
      <c r="P32" s="121">
        <v>10000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outlineLevel="1" x14ac:dyDescent="0.25">
      <c r="A33" s="6" t="s">
        <v>165</v>
      </c>
      <c r="B33" s="6"/>
      <c r="C33" s="7"/>
      <c r="D33" s="44"/>
      <c r="E33" s="44"/>
      <c r="F33" s="44"/>
      <c r="G33" s="44"/>
      <c r="H33" s="44"/>
      <c r="I33" s="118">
        <v>0.2</v>
      </c>
      <c r="J33" s="118">
        <v>0.2</v>
      </c>
      <c r="K33" s="118">
        <v>0.2</v>
      </c>
      <c r="L33" s="118">
        <v>0.2</v>
      </c>
      <c r="M33" s="118">
        <v>0.2</v>
      </c>
      <c r="N33" s="118">
        <v>0.2</v>
      </c>
      <c r="O33" s="118">
        <v>0.2</v>
      </c>
      <c r="P33" s="118">
        <v>0.2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outlineLevel="1" x14ac:dyDescent="0.25">
      <c r="A34" s="6" t="s">
        <v>263</v>
      </c>
      <c r="B34" s="6"/>
      <c r="C34" s="7"/>
      <c r="D34" s="44"/>
      <c r="E34" s="44"/>
      <c r="F34" s="44"/>
      <c r="G34" s="44"/>
      <c r="H34" s="44"/>
      <c r="I34" s="118">
        <v>0.05</v>
      </c>
      <c r="J34" s="118">
        <v>0.05</v>
      </c>
      <c r="K34" s="118">
        <v>0.05</v>
      </c>
      <c r="L34" s="118">
        <v>0.05</v>
      </c>
      <c r="M34" s="118">
        <v>0.05</v>
      </c>
      <c r="N34" s="118">
        <v>0.05</v>
      </c>
      <c r="O34" s="118">
        <v>0.05</v>
      </c>
      <c r="P34" s="118">
        <v>0.05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outlineLevel="1" x14ac:dyDescent="0.25">
      <c r="A35" s="6" t="s">
        <v>166</v>
      </c>
      <c r="B35" s="50"/>
      <c r="C35" s="54"/>
      <c r="D35" s="44"/>
      <c r="E35" s="44"/>
      <c r="F35" s="44"/>
      <c r="G35" s="44"/>
      <c r="H35" s="44"/>
      <c r="I35" s="118">
        <v>0.28000000000000003</v>
      </c>
      <c r="J35" s="118">
        <v>0.28000000000000003</v>
      </c>
      <c r="K35" s="118">
        <v>0.28000000000000003</v>
      </c>
      <c r="L35" s="118">
        <v>0.28000000000000003</v>
      </c>
      <c r="M35" s="118">
        <v>0.28000000000000003</v>
      </c>
      <c r="N35" s="118">
        <v>0.28000000000000003</v>
      </c>
      <c r="O35" s="118">
        <v>0.28000000000000003</v>
      </c>
      <c r="P35" s="118">
        <v>0.28000000000000003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outlineLevel="1" x14ac:dyDescent="0.25">
      <c r="A36" s="6" t="s">
        <v>167</v>
      </c>
      <c r="B36" s="6"/>
      <c r="C36" s="120"/>
      <c r="D36" s="6"/>
      <c r="E36" s="6"/>
      <c r="F36" s="6"/>
      <c r="G36" s="6"/>
      <c r="H36" s="6"/>
      <c r="I36" s="121">
        <v>18</v>
      </c>
      <c r="J36" s="121">
        <v>18</v>
      </c>
      <c r="K36" s="121">
        <v>18</v>
      </c>
      <c r="L36" s="121">
        <v>18</v>
      </c>
      <c r="M36" s="121">
        <v>18</v>
      </c>
      <c r="N36" s="121">
        <v>18</v>
      </c>
      <c r="O36" s="121">
        <v>18</v>
      </c>
      <c r="P36" s="121">
        <v>18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outlineLevel="1" x14ac:dyDescent="0.25">
      <c r="A37" s="6" t="s">
        <v>168</v>
      </c>
      <c r="B37" s="6"/>
      <c r="C37" s="120"/>
      <c r="D37" s="6"/>
      <c r="E37" s="6"/>
      <c r="F37" s="6"/>
      <c r="G37" s="6"/>
      <c r="H37" s="6"/>
      <c r="I37" s="121">
        <v>73</v>
      </c>
      <c r="J37" s="121">
        <v>73</v>
      </c>
      <c r="K37" s="121">
        <v>73</v>
      </c>
      <c r="L37" s="121">
        <v>73</v>
      </c>
      <c r="M37" s="121">
        <v>73</v>
      </c>
      <c r="N37" s="121">
        <v>73</v>
      </c>
      <c r="O37" s="121">
        <v>73</v>
      </c>
      <c r="P37" s="121">
        <v>73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outlineLevel="1" x14ac:dyDescent="0.25">
      <c r="A38" s="6" t="s">
        <v>169</v>
      </c>
      <c r="B38" s="6"/>
      <c r="C38" s="120"/>
      <c r="D38" s="6"/>
      <c r="E38" s="6"/>
      <c r="F38" s="6"/>
      <c r="G38" s="6"/>
      <c r="H38" s="6"/>
      <c r="I38" s="121">
        <v>37</v>
      </c>
      <c r="J38" s="121">
        <v>37</v>
      </c>
      <c r="K38" s="121">
        <v>37</v>
      </c>
      <c r="L38" s="121">
        <v>37</v>
      </c>
      <c r="M38" s="121">
        <v>37</v>
      </c>
      <c r="N38" s="121">
        <v>37</v>
      </c>
      <c r="O38" s="121">
        <v>37</v>
      </c>
      <c r="P38" s="121">
        <v>37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outlineLevel="1" x14ac:dyDescent="0.25">
      <c r="A39" s="6" t="s">
        <v>264</v>
      </c>
      <c r="B39" s="6"/>
      <c r="C39" s="7"/>
      <c r="D39" s="6"/>
      <c r="E39" s="6"/>
      <c r="F39" s="6"/>
      <c r="G39" s="6"/>
      <c r="H39" s="6"/>
      <c r="I39" s="121">
        <v>15000</v>
      </c>
      <c r="J39" s="121">
        <v>15000</v>
      </c>
      <c r="K39" s="121">
        <v>15000</v>
      </c>
      <c r="L39" s="121">
        <v>15000</v>
      </c>
      <c r="M39" s="121">
        <v>15000</v>
      </c>
      <c r="N39" s="121">
        <v>15000</v>
      </c>
      <c r="O39" s="121">
        <v>15000</v>
      </c>
      <c r="P39" s="121">
        <v>15000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outlineLevel="1" x14ac:dyDescent="0.25">
      <c r="A40" s="6" t="s">
        <v>265</v>
      </c>
      <c r="B40" s="6"/>
      <c r="C40" s="7"/>
      <c r="D40" s="6"/>
      <c r="E40" s="6"/>
      <c r="F40" s="6"/>
      <c r="G40" s="6"/>
      <c r="H40" s="6"/>
      <c r="I40" s="121">
        <v>0</v>
      </c>
      <c r="J40" s="121">
        <v>0</v>
      </c>
      <c r="K40" s="121">
        <v>-20000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outlineLevel="1" x14ac:dyDescent="0.25">
      <c r="A41" s="6" t="s">
        <v>170</v>
      </c>
      <c r="B41" s="6"/>
      <c r="C41" s="7"/>
      <c r="D41" s="6"/>
      <c r="E41" s="6"/>
      <c r="F41" s="6"/>
      <c r="G41" s="6"/>
      <c r="H41" s="6"/>
      <c r="I41" s="121">
        <v>0</v>
      </c>
      <c r="J41" s="121">
        <v>0</v>
      </c>
      <c r="K41" s="121">
        <v>0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outlineLevel="1" x14ac:dyDescent="0.25">
      <c r="A42" s="6" t="s">
        <v>198</v>
      </c>
      <c r="B42" s="6"/>
      <c r="C42" s="7"/>
      <c r="D42" s="6"/>
      <c r="E42" s="6"/>
      <c r="F42" s="6"/>
      <c r="G42" s="6"/>
      <c r="H42" s="6"/>
      <c r="I42" s="121">
        <v>0</v>
      </c>
      <c r="J42" s="121">
        <v>0</v>
      </c>
      <c r="K42" s="121">
        <v>0</v>
      </c>
      <c r="L42" s="121">
        <v>0</v>
      </c>
      <c r="M42" s="121">
        <v>100</v>
      </c>
      <c r="N42" s="121">
        <v>100</v>
      </c>
      <c r="O42" s="121">
        <v>0</v>
      </c>
      <c r="P42" s="121"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outlineLevel="1" x14ac:dyDescent="0.25">
      <c r="A43" s="6"/>
      <c r="B43" s="6"/>
      <c r="C43" s="7"/>
      <c r="D43" s="6"/>
      <c r="E43" s="6"/>
      <c r="F43" s="6"/>
      <c r="G43" s="6"/>
      <c r="H43" s="6"/>
      <c r="I43" s="19"/>
      <c r="J43" s="19"/>
      <c r="K43" s="19"/>
      <c r="L43" s="19"/>
      <c r="M43" s="19"/>
      <c r="N43" s="1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outlineLevel="1" x14ac:dyDescent="0.25">
      <c r="A44" s="25" t="s">
        <v>259</v>
      </c>
      <c r="B44" s="6"/>
      <c r="C44" s="7"/>
      <c r="D44" s="6"/>
      <c r="E44" s="6"/>
      <c r="F44" s="6"/>
      <c r="G44" s="6"/>
      <c r="H44" s="6"/>
      <c r="I44" s="19"/>
      <c r="J44" s="19"/>
      <c r="K44" s="19"/>
      <c r="L44" s="19"/>
      <c r="M44" s="19"/>
      <c r="N44" s="1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outlineLevel="1" x14ac:dyDescent="0.25">
      <c r="A45" s="26" t="s">
        <v>162</v>
      </c>
      <c r="B45" s="35"/>
      <c r="C45" s="49"/>
      <c r="D45" s="35"/>
      <c r="E45" s="93"/>
      <c r="F45" s="93"/>
      <c r="G45" s="93"/>
      <c r="H45" s="93"/>
      <c r="I45" s="93">
        <f t="shared" ref="I45:P45" si="6">CHOOSE($I$10,I13,I29)</f>
        <v>0.15</v>
      </c>
      <c r="J45" s="93">
        <f t="shared" si="6"/>
        <v>0.15</v>
      </c>
      <c r="K45" s="93">
        <f t="shared" si="6"/>
        <v>0.12</v>
      </c>
      <c r="L45" s="93">
        <f t="shared" si="6"/>
        <v>0.1</v>
      </c>
      <c r="M45" s="93">
        <f t="shared" si="6"/>
        <v>0.08</v>
      </c>
      <c r="N45" s="93">
        <f t="shared" si="6"/>
        <v>0.06</v>
      </c>
      <c r="O45" s="93">
        <f t="shared" si="6"/>
        <v>0.15</v>
      </c>
      <c r="P45" s="93">
        <f t="shared" si="6"/>
        <v>0.15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outlineLevel="1" x14ac:dyDescent="0.25">
      <c r="A46" s="6" t="s">
        <v>163</v>
      </c>
      <c r="B46" s="6"/>
      <c r="C46" s="7"/>
      <c r="D46" s="44"/>
      <c r="E46" s="44"/>
      <c r="F46" s="44"/>
      <c r="G46" s="44"/>
      <c r="H46" s="44"/>
      <c r="I46" s="44">
        <f t="shared" ref="I46:P46" si="7">CHOOSE($I$10,I14,I30)</f>
        <v>0.42</v>
      </c>
      <c r="J46" s="44">
        <f t="shared" si="7"/>
        <v>0.41</v>
      </c>
      <c r="K46" s="44">
        <f t="shared" si="7"/>
        <v>0.4</v>
      </c>
      <c r="L46" s="44">
        <f t="shared" si="7"/>
        <v>0.4</v>
      </c>
      <c r="M46" s="44">
        <f t="shared" si="7"/>
        <v>0.4</v>
      </c>
      <c r="N46" s="44">
        <f t="shared" si="7"/>
        <v>0.4</v>
      </c>
      <c r="O46" s="44">
        <f t="shared" si="7"/>
        <v>0.42</v>
      </c>
      <c r="P46" s="44">
        <f t="shared" si="7"/>
        <v>0.42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outlineLevel="1" x14ac:dyDescent="0.25">
      <c r="A47" s="6" t="s">
        <v>164</v>
      </c>
      <c r="B47" s="6"/>
      <c r="C47" s="7"/>
      <c r="D47" s="44"/>
      <c r="E47" s="44"/>
      <c r="F47" s="44"/>
      <c r="G47" s="44"/>
      <c r="H47" s="44"/>
      <c r="I47" s="44">
        <f t="shared" ref="I47:P47" si="8">CHOOSE($I$10,I15,I31)</f>
        <v>0.16</v>
      </c>
      <c r="J47" s="44">
        <f t="shared" si="8"/>
        <v>0.16</v>
      </c>
      <c r="K47" s="44">
        <f t="shared" si="8"/>
        <v>0.16</v>
      </c>
      <c r="L47" s="44">
        <f t="shared" si="8"/>
        <v>0.16</v>
      </c>
      <c r="M47" s="44">
        <f t="shared" si="8"/>
        <v>0.16</v>
      </c>
      <c r="N47" s="44">
        <f t="shared" si="8"/>
        <v>0.16</v>
      </c>
      <c r="O47" s="44">
        <f t="shared" si="8"/>
        <v>0.16</v>
      </c>
      <c r="P47" s="44">
        <f t="shared" si="8"/>
        <v>0.16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outlineLevel="1" x14ac:dyDescent="0.25">
      <c r="A48" s="6" t="s">
        <v>267</v>
      </c>
      <c r="B48" s="6"/>
      <c r="C48" s="7"/>
      <c r="D48" s="6"/>
      <c r="E48" s="6"/>
      <c r="F48" s="6"/>
      <c r="G48" s="6"/>
      <c r="H48" s="6"/>
      <c r="I48" s="6">
        <f t="shared" ref="I48:P48" si="9">CHOOSE($I$10,I16,I32)</f>
        <v>7000</v>
      </c>
      <c r="J48" s="6">
        <f t="shared" si="9"/>
        <v>7000</v>
      </c>
      <c r="K48" s="6">
        <f t="shared" si="9"/>
        <v>7000</v>
      </c>
      <c r="L48" s="6">
        <f t="shared" si="9"/>
        <v>7000</v>
      </c>
      <c r="M48" s="6">
        <f t="shared" si="9"/>
        <v>7000</v>
      </c>
      <c r="N48" s="6">
        <f t="shared" si="9"/>
        <v>7000</v>
      </c>
      <c r="O48" s="6">
        <f t="shared" si="9"/>
        <v>7000</v>
      </c>
      <c r="P48" s="6">
        <f t="shared" si="9"/>
        <v>7000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outlineLevel="1" x14ac:dyDescent="0.25">
      <c r="A49" s="6" t="s">
        <v>165</v>
      </c>
      <c r="B49" s="6"/>
      <c r="C49" s="7"/>
      <c r="D49" s="44"/>
      <c r="E49" s="44"/>
      <c r="F49" s="44"/>
      <c r="G49" s="44"/>
      <c r="H49" s="44"/>
      <c r="I49" s="44">
        <f t="shared" ref="I49:P49" si="10">CHOOSE($I$10,I17,I33)</f>
        <v>0.2</v>
      </c>
      <c r="J49" s="44">
        <f t="shared" si="10"/>
        <v>0.2</v>
      </c>
      <c r="K49" s="44">
        <f t="shared" si="10"/>
        <v>0.2</v>
      </c>
      <c r="L49" s="44">
        <f t="shared" si="10"/>
        <v>0.2</v>
      </c>
      <c r="M49" s="44">
        <f t="shared" si="10"/>
        <v>0.2</v>
      </c>
      <c r="N49" s="44">
        <f t="shared" si="10"/>
        <v>0.2</v>
      </c>
      <c r="O49" s="44">
        <f t="shared" si="10"/>
        <v>0.2</v>
      </c>
      <c r="P49" s="44">
        <f t="shared" si="10"/>
        <v>0.2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outlineLevel="1" x14ac:dyDescent="0.25">
      <c r="A50" s="6" t="s">
        <v>263</v>
      </c>
      <c r="B50" s="6"/>
      <c r="C50" s="7"/>
      <c r="D50" s="44">
        <v>0.08</v>
      </c>
      <c r="E50" s="44">
        <v>0.08</v>
      </c>
      <c r="F50" s="44">
        <v>0.08</v>
      </c>
      <c r="G50" s="44">
        <v>0.08</v>
      </c>
      <c r="H50" s="44">
        <v>0.08</v>
      </c>
      <c r="I50" s="44">
        <f t="shared" ref="I50:P50" si="11">CHOOSE($I$10,I18,I34)</f>
        <v>0.08</v>
      </c>
      <c r="J50" s="44">
        <f t="shared" si="11"/>
        <v>0.08</v>
      </c>
      <c r="K50" s="44">
        <f t="shared" si="11"/>
        <v>0.08</v>
      </c>
      <c r="L50" s="44">
        <f t="shared" si="11"/>
        <v>0.08</v>
      </c>
      <c r="M50" s="44">
        <f t="shared" si="11"/>
        <v>0.08</v>
      </c>
      <c r="N50" s="44">
        <f t="shared" si="11"/>
        <v>0.08</v>
      </c>
      <c r="O50" s="44">
        <f t="shared" si="11"/>
        <v>0.08</v>
      </c>
      <c r="P50" s="44">
        <f t="shared" si="11"/>
        <v>0.08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outlineLevel="1" x14ac:dyDescent="0.25">
      <c r="A51" s="6" t="s">
        <v>166</v>
      </c>
      <c r="B51" s="50"/>
      <c r="C51" s="54"/>
      <c r="D51" s="44"/>
      <c r="E51" s="44"/>
      <c r="F51" s="44"/>
      <c r="G51" s="44"/>
      <c r="H51" s="44"/>
      <c r="I51" s="44">
        <f t="shared" ref="I51:P51" si="12">CHOOSE($I$10,I19,I35)</f>
        <v>0.32</v>
      </c>
      <c r="J51" s="44">
        <f t="shared" si="12"/>
        <v>0.32</v>
      </c>
      <c r="K51" s="44">
        <f t="shared" si="12"/>
        <v>0.32</v>
      </c>
      <c r="L51" s="44">
        <f t="shared" si="12"/>
        <v>0.32</v>
      </c>
      <c r="M51" s="44">
        <f t="shared" si="12"/>
        <v>0.32</v>
      </c>
      <c r="N51" s="44">
        <f t="shared" si="12"/>
        <v>0.32</v>
      </c>
      <c r="O51" s="44">
        <f t="shared" si="12"/>
        <v>0.32</v>
      </c>
      <c r="P51" s="44">
        <f t="shared" si="12"/>
        <v>0.32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outlineLevel="1" x14ac:dyDescent="0.25">
      <c r="A52" s="6" t="s">
        <v>167</v>
      </c>
      <c r="B52" s="6"/>
      <c r="C52" s="120"/>
      <c r="D52" s="6"/>
      <c r="E52" s="6"/>
      <c r="F52" s="6"/>
      <c r="G52" s="6"/>
      <c r="H52" s="6"/>
      <c r="I52" s="6">
        <f t="shared" ref="I52:P52" si="13">CHOOSE($I$10,I20,I36)</f>
        <v>22</v>
      </c>
      <c r="J52" s="6">
        <f t="shared" si="13"/>
        <v>18</v>
      </c>
      <c r="K52" s="6">
        <f t="shared" si="13"/>
        <v>18</v>
      </c>
      <c r="L52" s="6">
        <f t="shared" si="13"/>
        <v>18</v>
      </c>
      <c r="M52" s="6">
        <f t="shared" si="13"/>
        <v>18</v>
      </c>
      <c r="N52" s="6">
        <f t="shared" si="13"/>
        <v>18</v>
      </c>
      <c r="O52" s="6">
        <f t="shared" si="13"/>
        <v>22</v>
      </c>
      <c r="P52" s="6">
        <f t="shared" si="13"/>
        <v>22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outlineLevel="1" x14ac:dyDescent="0.25">
      <c r="A53" s="6" t="s">
        <v>168</v>
      </c>
      <c r="B53" s="6"/>
      <c r="C53" s="120"/>
      <c r="D53" s="6"/>
      <c r="E53" s="6"/>
      <c r="F53" s="6"/>
      <c r="G53" s="6"/>
      <c r="H53" s="6"/>
      <c r="I53" s="6">
        <f t="shared" ref="I53:P53" si="14">CHOOSE($I$10,I21,I37)</f>
        <v>75</v>
      </c>
      <c r="J53" s="6">
        <f t="shared" si="14"/>
        <v>75</v>
      </c>
      <c r="K53" s="6">
        <f t="shared" si="14"/>
        <v>75</v>
      </c>
      <c r="L53" s="6">
        <f t="shared" si="14"/>
        <v>75</v>
      </c>
      <c r="M53" s="6">
        <f t="shared" si="14"/>
        <v>75</v>
      </c>
      <c r="N53" s="6">
        <f t="shared" si="14"/>
        <v>75</v>
      </c>
      <c r="O53" s="6">
        <f t="shared" si="14"/>
        <v>75</v>
      </c>
      <c r="P53" s="6">
        <f t="shared" si="14"/>
        <v>75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outlineLevel="1" x14ac:dyDescent="0.25">
      <c r="A54" s="6" t="s">
        <v>169</v>
      </c>
      <c r="B54" s="6"/>
      <c r="C54" s="120"/>
      <c r="D54" s="6"/>
      <c r="E54" s="6"/>
      <c r="F54" s="6"/>
      <c r="G54" s="6"/>
      <c r="H54" s="6"/>
      <c r="I54" s="6">
        <f t="shared" ref="I54:P54" si="15">CHOOSE($I$10,I22,I38)</f>
        <v>39</v>
      </c>
      <c r="J54" s="6">
        <f t="shared" si="15"/>
        <v>39</v>
      </c>
      <c r="K54" s="6">
        <f t="shared" si="15"/>
        <v>39</v>
      </c>
      <c r="L54" s="6">
        <f t="shared" si="15"/>
        <v>39</v>
      </c>
      <c r="M54" s="6">
        <f t="shared" si="15"/>
        <v>39</v>
      </c>
      <c r="N54" s="6">
        <f t="shared" si="15"/>
        <v>39</v>
      </c>
      <c r="O54" s="6">
        <f t="shared" si="15"/>
        <v>39</v>
      </c>
      <c r="P54" s="6">
        <f t="shared" si="15"/>
        <v>39</v>
      </c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outlineLevel="1" x14ac:dyDescent="0.25">
      <c r="A55" s="6" t="s">
        <v>264</v>
      </c>
      <c r="B55" s="6"/>
      <c r="C55" s="7"/>
      <c r="D55" s="6"/>
      <c r="E55" s="6"/>
      <c r="F55" s="6"/>
      <c r="G55" s="6"/>
      <c r="H55" s="6"/>
      <c r="I55" s="6">
        <f t="shared" ref="I55:P55" si="16">CHOOSE($I$10,I23,I39)</f>
        <v>5750</v>
      </c>
      <c r="J55" s="6">
        <f t="shared" si="16"/>
        <v>5750</v>
      </c>
      <c r="K55" s="6">
        <f t="shared" si="16"/>
        <v>5750</v>
      </c>
      <c r="L55" s="6">
        <f t="shared" si="16"/>
        <v>5750</v>
      </c>
      <c r="M55" s="6">
        <f t="shared" si="16"/>
        <v>5750</v>
      </c>
      <c r="N55" s="6">
        <f t="shared" si="16"/>
        <v>5750</v>
      </c>
      <c r="O55" s="6">
        <f t="shared" si="16"/>
        <v>5750</v>
      </c>
      <c r="P55" s="6">
        <f t="shared" si="16"/>
        <v>5750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outlineLevel="1" x14ac:dyDescent="0.25">
      <c r="A56" s="6" t="s">
        <v>265</v>
      </c>
      <c r="B56" s="6"/>
      <c r="C56" s="7"/>
      <c r="D56" s="6"/>
      <c r="E56" s="6"/>
      <c r="F56" s="6"/>
      <c r="G56" s="6"/>
      <c r="H56" s="6"/>
      <c r="I56" s="6">
        <f t="shared" ref="I56:P56" si="17">CHOOSE($I$10,I24,I40)</f>
        <v>0</v>
      </c>
      <c r="J56" s="6">
        <f t="shared" si="17"/>
        <v>0</v>
      </c>
      <c r="K56" s="6">
        <f t="shared" si="17"/>
        <v>0</v>
      </c>
      <c r="L56" s="6">
        <f t="shared" si="17"/>
        <v>0</v>
      </c>
      <c r="M56" s="6">
        <f t="shared" si="17"/>
        <v>0</v>
      </c>
      <c r="N56" s="6">
        <f t="shared" si="17"/>
        <v>-10000</v>
      </c>
      <c r="O56" s="6">
        <f t="shared" si="17"/>
        <v>0</v>
      </c>
      <c r="P56" s="6">
        <f t="shared" si="17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outlineLevel="1" x14ac:dyDescent="0.25">
      <c r="A57" s="6" t="s">
        <v>170</v>
      </c>
      <c r="B57" s="6"/>
      <c r="C57" s="7"/>
      <c r="D57" s="6"/>
      <c r="E57" s="6"/>
      <c r="F57" s="6"/>
      <c r="G57" s="6"/>
      <c r="H57" s="6"/>
      <c r="I57" s="6">
        <f t="shared" ref="I57:P57" si="18">CHOOSE($I$10,I25,I41)</f>
        <v>0</v>
      </c>
      <c r="J57" s="6">
        <f t="shared" si="18"/>
        <v>0</v>
      </c>
      <c r="K57" s="6">
        <f t="shared" si="18"/>
        <v>0</v>
      </c>
      <c r="L57" s="6">
        <f t="shared" si="18"/>
        <v>0</v>
      </c>
      <c r="M57" s="6">
        <f t="shared" si="18"/>
        <v>0</v>
      </c>
      <c r="N57" s="6">
        <f t="shared" si="18"/>
        <v>0</v>
      </c>
      <c r="O57" s="6">
        <f t="shared" si="18"/>
        <v>0</v>
      </c>
      <c r="P57" s="6">
        <f t="shared" si="18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outlineLevel="1" x14ac:dyDescent="0.25">
      <c r="A58" s="6" t="s">
        <v>198</v>
      </c>
      <c r="B58" s="6"/>
      <c r="C58" s="7"/>
      <c r="D58" s="6"/>
      <c r="E58" s="6"/>
      <c r="F58" s="6"/>
      <c r="G58" s="6"/>
      <c r="H58" s="6"/>
      <c r="I58" s="6">
        <f t="shared" ref="I58:P58" si="19">CHOOSE($I$10,I26,I42)</f>
        <v>0</v>
      </c>
      <c r="J58" s="6">
        <f t="shared" si="19"/>
        <v>0</v>
      </c>
      <c r="K58" s="6">
        <f t="shared" si="19"/>
        <v>0</v>
      </c>
      <c r="L58" s="6">
        <f t="shared" si="19"/>
        <v>0</v>
      </c>
      <c r="M58" s="6">
        <f t="shared" si="19"/>
        <v>200</v>
      </c>
      <c r="N58" s="6">
        <f t="shared" si="19"/>
        <v>200</v>
      </c>
      <c r="O58" s="6">
        <f t="shared" si="19"/>
        <v>0</v>
      </c>
      <c r="P58" s="6">
        <f t="shared" si="19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outlineLevel="1" x14ac:dyDescent="0.25">
      <c r="A59" s="6"/>
      <c r="B59" s="6"/>
      <c r="C59" s="7"/>
      <c r="D59" s="6"/>
      <c r="E59" s="6"/>
      <c r="F59" s="6"/>
      <c r="G59" s="6"/>
      <c r="H59" s="6"/>
      <c r="I59" s="19"/>
      <c r="J59" s="19"/>
      <c r="K59" s="19"/>
      <c r="L59" s="19"/>
      <c r="M59" s="19"/>
      <c r="N59" s="1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x14ac:dyDescent="0.25">
      <c r="A60" s="6"/>
      <c r="B60" s="6"/>
      <c r="C60" s="7"/>
      <c r="D60" s="6"/>
      <c r="E60" s="6"/>
      <c r="F60" s="6"/>
      <c r="G60" s="6"/>
      <c r="H60" s="6"/>
      <c r="I60" s="19"/>
      <c r="J60" s="19"/>
      <c r="K60" s="19"/>
      <c r="L60" s="19"/>
      <c r="M60" s="19"/>
      <c r="N60" s="1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1" x14ac:dyDescent="0.35">
      <c r="A61" s="9" t="s">
        <v>172</v>
      </c>
      <c r="B61" s="10"/>
      <c r="C61" s="1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outlineLevel="1" x14ac:dyDescent="0.25">
      <c r="A62" s="25"/>
      <c r="B62" s="25"/>
      <c r="C62" s="122"/>
      <c r="D62" s="114"/>
      <c r="E62" s="114"/>
      <c r="F62" s="114"/>
      <c r="G62" s="114"/>
      <c r="H62" s="114"/>
      <c r="I62" s="25"/>
      <c r="J62" s="25"/>
      <c r="K62" s="25"/>
      <c r="L62" s="25"/>
      <c r="M62" s="25"/>
      <c r="N62" s="2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outlineLevel="1" x14ac:dyDescent="0.25">
      <c r="A63" s="25" t="s">
        <v>173</v>
      </c>
      <c r="B63" s="25"/>
      <c r="C63" s="122"/>
      <c r="D63" s="114">
        <f>'[1]Target statements'!$C$5</f>
        <v>57127.576164874547</v>
      </c>
      <c r="E63" s="114">
        <f>'[1]Target statements'!$D$5</f>
        <v>66132.392473118278</v>
      </c>
      <c r="F63" s="114">
        <f>'[1]Target statements'!$E$5</f>
        <v>73557.907706093189</v>
      </c>
      <c r="G63" s="114">
        <f>'[1]Target statements'!$F$5</f>
        <v>79716.06182795699</v>
      </c>
      <c r="H63" s="114">
        <f>'[1]Target statements'!$G$5</f>
        <v>84437.724014336913</v>
      </c>
      <c r="I63" s="25">
        <f t="shared" ref="I63:N63" si="20">H63*((1+I45))</f>
        <v>97103.382616487448</v>
      </c>
      <c r="J63" s="25">
        <f t="shared" si="20"/>
        <v>111668.89000896056</v>
      </c>
      <c r="K63" s="25">
        <f t="shared" si="20"/>
        <v>125069.15681003584</v>
      </c>
      <c r="L63" s="25">
        <f t="shared" si="20"/>
        <v>137576.07249103943</v>
      </c>
      <c r="M63" s="25">
        <f t="shared" si="20"/>
        <v>148582.15829032261</v>
      </c>
      <c r="N63" s="25">
        <f t="shared" si="20"/>
        <v>157497.08778774197</v>
      </c>
      <c r="O63" s="162">
        <f t="shared" ref="O63:O64" si="21">+I63*O$6</f>
        <v>48551.691308243724</v>
      </c>
      <c r="P63" s="162">
        <f t="shared" ref="P63:P64" si="22">+I63-O63</f>
        <v>48551.691308243724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outlineLevel="1" x14ac:dyDescent="0.25">
      <c r="A64" s="6" t="s">
        <v>174</v>
      </c>
      <c r="B64" s="6"/>
      <c r="C64" s="7"/>
      <c r="D64" s="19">
        <f>'[1]Target statements'!$C$6</f>
        <v>21854.278673835124</v>
      </c>
      <c r="E64" s="19">
        <f>'[1]Target statements'!$D$6</f>
        <v>26883.960573476703</v>
      </c>
      <c r="F64" s="19">
        <f>'[1]Target statements'!$E$6</f>
        <v>27510.640681003584</v>
      </c>
      <c r="G64" s="19">
        <f>'[1]Target statements'!$F$6</f>
        <v>29488.127240143367</v>
      </c>
      <c r="H64" s="19">
        <f>'[1]Target statements'!$G$6</f>
        <v>31759.632616487455</v>
      </c>
      <c r="I64" s="124">
        <f t="shared" ref="I64:N64" si="23">I63*(I46)</f>
        <v>40783.420698924725</v>
      </c>
      <c r="J64" s="124">
        <f t="shared" si="23"/>
        <v>45784.244903673825</v>
      </c>
      <c r="K64" s="124">
        <f t="shared" si="23"/>
        <v>50027.662724014343</v>
      </c>
      <c r="L64" s="124">
        <f t="shared" si="23"/>
        <v>55030.42899641578</v>
      </c>
      <c r="M64" s="124">
        <f t="shared" si="23"/>
        <v>59432.863316129049</v>
      </c>
      <c r="N64" s="124">
        <f t="shared" si="23"/>
        <v>62998.835115096794</v>
      </c>
      <c r="O64" s="130">
        <f t="shared" si="21"/>
        <v>20391.710349462363</v>
      </c>
      <c r="P64" s="130">
        <f t="shared" si="22"/>
        <v>20391.710349462363</v>
      </c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outlineLevel="1" x14ac:dyDescent="0.25">
      <c r="A65" s="35" t="s">
        <v>175</v>
      </c>
      <c r="B65" s="35"/>
      <c r="C65" s="49"/>
      <c r="D65" s="35">
        <f t="shared" ref="D65:P65" si="24">D63-D64</f>
        <v>35273.297491039426</v>
      </c>
      <c r="E65" s="35">
        <f t="shared" si="24"/>
        <v>39248.431899641575</v>
      </c>
      <c r="F65" s="35">
        <f t="shared" si="24"/>
        <v>46047.267025089604</v>
      </c>
      <c r="G65" s="35">
        <f t="shared" si="24"/>
        <v>50227.934587813623</v>
      </c>
      <c r="H65" s="35">
        <f t="shared" si="24"/>
        <v>52678.091397849457</v>
      </c>
      <c r="I65" s="35">
        <f t="shared" si="24"/>
        <v>56319.961917562723</v>
      </c>
      <c r="J65" s="35">
        <f t="shared" si="24"/>
        <v>65884.645105286734</v>
      </c>
      <c r="K65" s="35">
        <f t="shared" si="24"/>
        <v>75041.494086021499</v>
      </c>
      <c r="L65" s="35">
        <f t="shared" si="24"/>
        <v>82545.643494623655</v>
      </c>
      <c r="M65" s="35">
        <f t="shared" si="24"/>
        <v>89149.294974193559</v>
      </c>
      <c r="N65" s="35">
        <f t="shared" si="24"/>
        <v>94498.252672645176</v>
      </c>
      <c r="O65" s="35">
        <f t="shared" si="24"/>
        <v>28159.980958781362</v>
      </c>
      <c r="P65" s="35">
        <f t="shared" si="24"/>
        <v>28159.980958781362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outlineLevel="1" x14ac:dyDescent="0.25">
      <c r="A66" s="25" t="s">
        <v>176</v>
      </c>
      <c r="B66" s="25"/>
      <c r="C66" s="122"/>
      <c r="D66" s="123"/>
      <c r="E66" s="123"/>
      <c r="F66" s="123"/>
      <c r="G66" s="123"/>
      <c r="H66" s="123"/>
      <c r="I66" s="123"/>
      <c r="J66" s="123"/>
      <c r="K66" s="123"/>
      <c r="L66" s="25"/>
      <c r="M66" s="25"/>
      <c r="N66" s="2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outlineLevel="1" x14ac:dyDescent="0.25">
      <c r="A67" s="6" t="s">
        <v>177</v>
      </c>
      <c r="B67" s="6"/>
      <c r="C67" s="7"/>
      <c r="D67" s="19">
        <f>'[1]Target statements'!$C$9</f>
        <v>14800.067204301075</v>
      </c>
      <c r="E67" s="19">
        <f>'[1]Target statements'!$D$9</f>
        <v>12689.292114695339</v>
      </c>
      <c r="F67" s="19">
        <f>'[1]Target statements'!$E$9</f>
        <v>13369.175627240144</v>
      </c>
      <c r="G67" s="19">
        <f>'[1]Target statements'!$F$9</f>
        <v>12881.944444444442</v>
      </c>
      <c r="H67" s="19">
        <f>'[1]Target statements'!$G$9</f>
        <v>14138.104838709674</v>
      </c>
      <c r="I67" s="6">
        <f t="shared" ref="I67:N67" si="25">I63*I47</f>
        <v>15536.541218637993</v>
      </c>
      <c r="J67" s="6">
        <f t="shared" si="25"/>
        <v>17867.022401433689</v>
      </c>
      <c r="K67" s="6">
        <f t="shared" si="25"/>
        <v>20011.065089605734</v>
      </c>
      <c r="L67" s="6">
        <f t="shared" si="25"/>
        <v>22012.17159856631</v>
      </c>
      <c r="M67" s="6">
        <f t="shared" si="25"/>
        <v>23773.145326451617</v>
      </c>
      <c r="N67" s="6">
        <f t="shared" si="25"/>
        <v>25199.534046038716</v>
      </c>
      <c r="O67" s="6">
        <f t="shared" ref="O67:O70" si="26">+I67*O$6</f>
        <v>7768.2706093189963</v>
      </c>
      <c r="P67" s="6">
        <f t="shared" ref="P67:P70" si="27">+I67-O67</f>
        <v>7768.2706093189963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outlineLevel="1" x14ac:dyDescent="0.25">
      <c r="A68" s="6" t="s">
        <v>178</v>
      </c>
      <c r="B68" s="6"/>
      <c r="C68" s="7"/>
      <c r="D68" s="19">
        <f>'[1]Target statements'!$C$10</f>
        <v>6139.6729390681003</v>
      </c>
      <c r="E68" s="19">
        <f>'[1]Target statements'!$D$10</f>
        <v>5670.3629032258059</v>
      </c>
      <c r="F68" s="19">
        <f>'[1]Target statements'!$E$10</f>
        <v>5649.0815412186375</v>
      </c>
      <c r="G68" s="19">
        <f>'[1]Target statements'!$F$10</f>
        <v>6171.5949820788537</v>
      </c>
      <c r="H68" s="19">
        <f>'[1]Target statements'!$G$10</f>
        <v>6391.1290322580644</v>
      </c>
      <c r="I68" s="6">
        <f t="shared" ref="I68:N68" si="28">I48</f>
        <v>7000</v>
      </c>
      <c r="J68" s="6">
        <f t="shared" si="28"/>
        <v>7000</v>
      </c>
      <c r="K68" s="6">
        <f t="shared" si="28"/>
        <v>7000</v>
      </c>
      <c r="L68" s="6">
        <f t="shared" si="28"/>
        <v>7000</v>
      </c>
      <c r="M68" s="6">
        <f t="shared" si="28"/>
        <v>7000</v>
      </c>
      <c r="N68" s="6">
        <f t="shared" si="28"/>
        <v>7000</v>
      </c>
      <c r="O68" s="6">
        <f t="shared" si="26"/>
        <v>3500</v>
      </c>
      <c r="P68" s="6">
        <f t="shared" si="27"/>
        <v>3500</v>
      </c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outlineLevel="1" x14ac:dyDescent="0.25">
      <c r="A69" s="6" t="s">
        <v>179</v>
      </c>
      <c r="B69" s="6"/>
      <c r="C69" s="7"/>
      <c r="D69" s="19">
        <f>'[1]Target statements'!$C$11</f>
        <v>10920.698924731183</v>
      </c>
      <c r="E69" s="19">
        <f>'[1]Target statements'!$D$11</f>
        <v>10164.650537634408</v>
      </c>
      <c r="F69" s="19">
        <f>'[1]Target statements'!$E$11</f>
        <v>9635.4166666666661</v>
      </c>
      <c r="G69" s="19">
        <f>'[1]Target statements'!$F$11</f>
        <v>9264.9529569892475</v>
      </c>
      <c r="H69" s="19">
        <f>'[1]Target statements'!$G$11</f>
        <v>9005.6283602150525</v>
      </c>
      <c r="I69" s="6">
        <f t="shared" ref="I69:N69" si="29">+I141</f>
        <v>4202.6265681003588</v>
      </c>
      <c r="J69" s="6">
        <f t="shared" si="29"/>
        <v>4512.101254480287</v>
      </c>
      <c r="K69" s="6">
        <f t="shared" si="29"/>
        <v>4759.68100358423</v>
      </c>
      <c r="L69" s="6">
        <f t="shared" si="29"/>
        <v>4957.7448028673844</v>
      </c>
      <c r="M69" s="6">
        <f t="shared" si="29"/>
        <v>5116.1958422939078</v>
      </c>
      <c r="N69" s="6">
        <f t="shared" si="29"/>
        <v>5242.9566738351268</v>
      </c>
      <c r="O69" s="6">
        <f t="shared" si="26"/>
        <v>2101.3132840501794</v>
      </c>
      <c r="P69" s="6">
        <f t="shared" si="27"/>
        <v>2101.3132840501794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outlineLevel="1" x14ac:dyDescent="0.25">
      <c r="A70" s="20" t="s">
        <v>180</v>
      </c>
      <c r="B70" s="20"/>
      <c r="C70" s="21"/>
      <c r="D70" s="163">
        <f>'[1]Target statements'!$C$12</f>
        <v>1400.089605734767</v>
      </c>
      <c r="E70" s="163">
        <f>'[1]Target statements'!$D$12</f>
        <v>1400.089605734767</v>
      </c>
      <c r="F70" s="163">
        <f>'[1]Target statements'!$E$12</f>
        <v>840.05376344086017</v>
      </c>
      <c r="G70" s="163">
        <f>'[1]Target statements'!$F$12</f>
        <v>840.05376344086017</v>
      </c>
      <c r="H70" s="163">
        <f>'[1]Target statements'!$G$12</f>
        <v>840.05376344086017</v>
      </c>
      <c r="I70" s="20">
        <f t="shared" ref="I70:N70" si="30">I148</f>
        <v>1344.0860215053763</v>
      </c>
      <c r="J70" s="20">
        <f t="shared" si="30"/>
        <v>1344.0860215053763</v>
      </c>
      <c r="K70" s="20">
        <f t="shared" si="30"/>
        <v>1344.0860215053763</v>
      </c>
      <c r="L70" s="20">
        <f t="shared" si="30"/>
        <v>1344.0860215053763</v>
      </c>
      <c r="M70" s="20">
        <f t="shared" si="30"/>
        <v>1344.0860215053763</v>
      </c>
      <c r="N70" s="20">
        <f t="shared" si="30"/>
        <v>544.08602150537627</v>
      </c>
      <c r="O70" s="20">
        <f t="shared" si="26"/>
        <v>672.04301075268813</v>
      </c>
      <c r="P70" s="20">
        <f t="shared" si="27"/>
        <v>672.04301075268813</v>
      </c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outlineLevel="1" x14ac:dyDescent="0.25">
      <c r="A71" s="25" t="s">
        <v>181</v>
      </c>
      <c r="B71" s="6"/>
      <c r="C71" s="7"/>
      <c r="D71" s="25">
        <f t="shared" ref="D71:P71" si="31">SUM(D67:D70)</f>
        <v>33260.528673835121</v>
      </c>
      <c r="E71" s="25">
        <f t="shared" si="31"/>
        <v>29924.395161290322</v>
      </c>
      <c r="F71" s="25">
        <f t="shared" si="31"/>
        <v>29493.727598566307</v>
      </c>
      <c r="G71" s="25">
        <f t="shared" si="31"/>
        <v>29158.546146953406</v>
      </c>
      <c r="H71" s="25">
        <f t="shared" si="31"/>
        <v>30374.915994623654</v>
      </c>
      <c r="I71" s="25">
        <f t="shared" si="31"/>
        <v>28083.253808243724</v>
      </c>
      <c r="J71" s="25">
        <f t="shared" si="31"/>
        <v>30723.209677419352</v>
      </c>
      <c r="K71" s="25">
        <f t="shared" si="31"/>
        <v>33114.832114695339</v>
      </c>
      <c r="L71" s="25">
        <f t="shared" si="31"/>
        <v>35314.002422939069</v>
      </c>
      <c r="M71" s="25">
        <f t="shared" si="31"/>
        <v>37233.427190250899</v>
      </c>
      <c r="N71" s="25">
        <f t="shared" si="31"/>
        <v>37986.57674137922</v>
      </c>
      <c r="O71" s="25">
        <f t="shared" si="31"/>
        <v>14041.626904121862</v>
      </c>
      <c r="P71" s="25">
        <f t="shared" si="31"/>
        <v>14041.626904121862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outlineLevel="1" x14ac:dyDescent="0.25">
      <c r="A72" s="35" t="s">
        <v>182</v>
      </c>
      <c r="B72" s="35"/>
      <c r="C72" s="49"/>
      <c r="D72" s="35">
        <f t="shared" ref="D72:P72" si="32">D65-D71</f>
        <v>2012.7688172043054</v>
      </c>
      <c r="E72" s="35">
        <f t="shared" si="32"/>
        <v>9324.036738351253</v>
      </c>
      <c r="F72" s="35">
        <f t="shared" si="32"/>
        <v>16553.539426523297</v>
      </c>
      <c r="G72" s="35">
        <f t="shared" si="32"/>
        <v>21069.388440860217</v>
      </c>
      <c r="H72" s="35">
        <f t="shared" si="32"/>
        <v>22303.175403225803</v>
      </c>
      <c r="I72" s="35">
        <f t="shared" si="32"/>
        <v>28236.708109318999</v>
      </c>
      <c r="J72" s="35">
        <f t="shared" si="32"/>
        <v>35161.435427867385</v>
      </c>
      <c r="K72" s="35">
        <f t="shared" si="32"/>
        <v>41926.661971326161</v>
      </c>
      <c r="L72" s="35">
        <f t="shared" si="32"/>
        <v>47231.641071684586</v>
      </c>
      <c r="M72" s="35">
        <f t="shared" si="32"/>
        <v>51915.86778394266</v>
      </c>
      <c r="N72" s="35">
        <f t="shared" si="32"/>
        <v>56511.675931265956</v>
      </c>
      <c r="O72" s="35">
        <f t="shared" si="32"/>
        <v>14118.3540546595</v>
      </c>
      <c r="P72" s="35">
        <f t="shared" si="32"/>
        <v>14118.3540546595</v>
      </c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outlineLevel="1" x14ac:dyDescent="0.25">
      <c r="A73" s="25"/>
      <c r="B73" s="25"/>
      <c r="C73" s="122"/>
      <c r="D73" s="114"/>
      <c r="E73" s="114"/>
      <c r="F73" s="114"/>
      <c r="G73" s="114"/>
      <c r="H73" s="114"/>
      <c r="I73" s="25"/>
      <c r="J73" s="25"/>
      <c r="K73" s="25"/>
      <c r="L73" s="25"/>
      <c r="M73" s="25"/>
      <c r="N73" s="2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outlineLevel="1" x14ac:dyDescent="0.25">
      <c r="A74" s="6" t="s">
        <v>183</v>
      </c>
      <c r="B74" s="6"/>
      <c r="C74" s="7"/>
      <c r="D74" s="19">
        <f>'[1]Acquirer statements'!$C$16</f>
        <v>1120.1708000000001</v>
      </c>
      <c r="E74" s="19">
        <f>'[1]Acquirer statements'!$D$16</f>
        <v>4858.2165021220308</v>
      </c>
      <c r="F74" s="19">
        <f>'[1]Acquirer statements'!$E$16</f>
        <v>8482.8061148686775</v>
      </c>
      <c r="G74" s="19">
        <f>'[1]Acquirer statements'!$F$16</f>
        <v>10908.02097640469</v>
      </c>
      <c r="H74" s="19">
        <f>'[1]Acquirer statements'!$G$16</f>
        <v>11597.665241419718</v>
      </c>
      <c r="I74" s="124">
        <f t="shared" ref="I74:N74" si="33">IF(I72&gt;0,I72*I51,0)</f>
        <v>9035.7465949820798</v>
      </c>
      <c r="J74" s="124">
        <f t="shared" si="33"/>
        <v>11251.659336917564</v>
      </c>
      <c r="K74" s="124">
        <f t="shared" si="33"/>
        <v>13416.531830824371</v>
      </c>
      <c r="L74" s="124">
        <f t="shared" si="33"/>
        <v>15114.125142939069</v>
      </c>
      <c r="M74" s="124">
        <f t="shared" si="33"/>
        <v>16613.07769086165</v>
      </c>
      <c r="N74" s="124">
        <f t="shared" si="33"/>
        <v>18083.736298005108</v>
      </c>
      <c r="O74" s="124">
        <f>+I74*O$6</f>
        <v>4517.8732974910399</v>
      </c>
      <c r="P74" s="124">
        <f>+I74-O74</f>
        <v>4517.8732974910399</v>
      </c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outlineLevel="1" x14ac:dyDescent="0.25">
      <c r="A75" s="61" t="s">
        <v>184</v>
      </c>
      <c r="B75" s="61"/>
      <c r="C75" s="125"/>
      <c r="D75" s="61">
        <f t="shared" ref="D75:P75" si="34">D72-D74</f>
        <v>892.59801720430528</v>
      </c>
      <c r="E75" s="61">
        <f t="shared" si="34"/>
        <v>4465.8202362292222</v>
      </c>
      <c r="F75" s="61">
        <f t="shared" si="34"/>
        <v>8070.7333116546197</v>
      </c>
      <c r="G75" s="61">
        <f t="shared" si="34"/>
        <v>10161.367464455527</v>
      </c>
      <c r="H75" s="61">
        <f t="shared" si="34"/>
        <v>10705.510161806085</v>
      </c>
      <c r="I75" s="61">
        <f t="shared" si="34"/>
        <v>19200.961514336919</v>
      </c>
      <c r="J75" s="61">
        <f t="shared" si="34"/>
        <v>23909.776090949821</v>
      </c>
      <c r="K75" s="61">
        <f t="shared" si="34"/>
        <v>28510.130140501788</v>
      </c>
      <c r="L75" s="61">
        <f t="shared" si="34"/>
        <v>32117.515928745517</v>
      </c>
      <c r="M75" s="61">
        <f t="shared" si="34"/>
        <v>35302.790093081014</v>
      </c>
      <c r="N75" s="61">
        <f t="shared" si="34"/>
        <v>38427.939633260845</v>
      </c>
      <c r="O75" s="61">
        <f t="shared" si="34"/>
        <v>9600.4807571684596</v>
      </c>
      <c r="P75" s="61">
        <f t="shared" si="34"/>
        <v>9600.4807571684596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outlineLevel="1" x14ac:dyDescent="0.25">
      <c r="A76" s="6"/>
      <c r="B76" s="6"/>
      <c r="C76" s="7"/>
      <c r="D76" s="19"/>
      <c r="E76" s="19"/>
      <c r="F76" s="19"/>
      <c r="G76" s="19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x14ac:dyDescent="0.25">
      <c r="A77" s="6"/>
      <c r="B77" s="6"/>
      <c r="C77" s="7"/>
      <c r="D77" s="19"/>
      <c r="E77" s="19"/>
      <c r="F77" s="19"/>
      <c r="G77" s="19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1" x14ac:dyDescent="0.35">
      <c r="A78" s="9" t="s">
        <v>185</v>
      </c>
      <c r="B78" s="10"/>
      <c r="C78" s="1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outlineLevel="1" x14ac:dyDescent="0.25">
      <c r="A79" s="6"/>
      <c r="B79" s="6"/>
      <c r="C79" s="7"/>
      <c r="D79" s="19"/>
      <c r="E79" s="19"/>
      <c r="F79" s="19"/>
      <c r="G79" s="19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outlineLevel="1" x14ac:dyDescent="0.25">
      <c r="A80" s="25" t="s">
        <v>97</v>
      </c>
      <c r="B80" s="6"/>
      <c r="C80" s="7"/>
      <c r="D80" s="19"/>
      <c r="E80" s="19"/>
      <c r="F80" s="19"/>
      <c r="G80" s="19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outlineLevel="1" x14ac:dyDescent="0.25">
      <c r="A81" s="6" t="s">
        <v>52</v>
      </c>
      <c r="B81" s="6"/>
      <c r="C81" s="126"/>
      <c r="D81" s="19">
        <f>'[1]Target statements'!$C$23</f>
        <v>37573.461592473119</v>
      </c>
      <c r="E81" s="19">
        <f>'[1]Target statements'!$D$23</f>
        <v>42850.185726551805</v>
      </c>
      <c r="F81" s="19">
        <f>'[1]Target statements'!$E$23</f>
        <v>40521.137452184921</v>
      </c>
      <c r="G81" s="19">
        <f>'[1]Target statements'!$F$23</f>
        <v>51041.263877213925</v>
      </c>
      <c r="H81" s="19">
        <f>'[1]Target statements'!$G$23</f>
        <v>61888.631117873054</v>
      </c>
      <c r="I81" s="6">
        <f t="shared" ref="I81:O81" si="35">I125</f>
        <v>77064.655052424059</v>
      </c>
      <c r="J81" s="6">
        <f t="shared" si="35"/>
        <v>99589.148085608875</v>
      </c>
      <c r="K81" s="6">
        <f t="shared" si="35"/>
        <v>126029.59527366307</v>
      </c>
      <c r="L81" s="6">
        <f t="shared" si="35"/>
        <v>156278.01983368449</v>
      </c>
      <c r="M81" s="6">
        <f t="shared" si="35"/>
        <v>189736.66043938708</v>
      </c>
      <c r="N81" s="6">
        <f t="shared" si="35"/>
        <v>216666.20410068473</v>
      </c>
      <c r="O81" s="6">
        <f t="shared" si="35"/>
        <v>77532.336725768415</v>
      </c>
      <c r="P81" s="6">
        <f t="shared" ref="P81:P83" si="36">+I81</f>
        <v>77064.655052424059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outlineLevel="1" x14ac:dyDescent="0.25">
      <c r="A82" s="6" t="s">
        <v>98</v>
      </c>
      <c r="B82" s="6"/>
      <c r="C82" s="126"/>
      <c r="D82" s="19">
        <f>'[1]Target statements'!$C$24</f>
        <v>2856.3788082437277</v>
      </c>
      <c r="E82" s="19">
        <f>'[1]Target statements'!$D$24</f>
        <v>3306.619623655914</v>
      </c>
      <c r="F82" s="19">
        <f>'[1]Target statements'!$E$24</f>
        <v>3677.8953853046592</v>
      </c>
      <c r="G82" s="19">
        <f>'[1]Target statements'!$F$24</f>
        <v>3985.80309139785</v>
      </c>
      <c r="H82" s="19">
        <f>'[1]Target statements'!$G$24</f>
        <v>4221.8862007168455</v>
      </c>
      <c r="I82" s="127">
        <f t="shared" ref="I82:O82" si="37">I63*I52/I5</f>
        <v>5852.8066234595181</v>
      </c>
      <c r="J82" s="127">
        <f t="shared" si="37"/>
        <v>5506.9589593460005</v>
      </c>
      <c r="K82" s="127">
        <f t="shared" si="37"/>
        <v>6167.7940344675217</v>
      </c>
      <c r="L82" s="127">
        <f t="shared" si="37"/>
        <v>6766.0363520183337</v>
      </c>
      <c r="M82" s="127">
        <f t="shared" si="37"/>
        <v>7327.3393129474161</v>
      </c>
      <c r="N82" s="127">
        <f t="shared" si="37"/>
        <v>7766.9796717242616</v>
      </c>
      <c r="O82" s="127">
        <f t="shared" si="37"/>
        <v>344.22726676808315</v>
      </c>
      <c r="P82" s="6">
        <f t="shared" si="36"/>
        <v>5852.8066234595181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outlineLevel="1" x14ac:dyDescent="0.25">
      <c r="A83" s="6" t="s">
        <v>99</v>
      </c>
      <c r="B83" s="6"/>
      <c r="C83" s="126"/>
      <c r="D83" s="19">
        <f>'[1]Target statements'!$C$25</f>
        <v>4370.8557347670248</v>
      </c>
      <c r="E83" s="19">
        <f>'[1]Target statements'!$D$25</f>
        <v>5376.7921146953413</v>
      </c>
      <c r="F83" s="19">
        <f>'[1]Target statements'!$E$25</f>
        <v>5502.1281362007167</v>
      </c>
      <c r="G83" s="19">
        <f>'[1]Target statements'!$F$25</f>
        <v>5897.6254480286743</v>
      </c>
      <c r="H83" s="19">
        <f>'[1]Target statements'!$G$25</f>
        <v>6351.9265232974894</v>
      </c>
      <c r="I83" s="124">
        <f t="shared" ref="I83:O83" si="38">I64*I53/I5</f>
        <v>8380.1549381352179</v>
      </c>
      <c r="J83" s="124">
        <f t="shared" si="38"/>
        <v>9407.7215555494167</v>
      </c>
      <c r="K83" s="124">
        <f t="shared" si="38"/>
        <v>10279.656724112536</v>
      </c>
      <c r="L83" s="124">
        <f t="shared" si="38"/>
        <v>11276.72725336389</v>
      </c>
      <c r="M83" s="124">
        <f t="shared" si="38"/>
        <v>12212.232188245694</v>
      </c>
      <c r="N83" s="124">
        <f t="shared" si="38"/>
        <v>12944.966119540437</v>
      </c>
      <c r="O83" s="124">
        <f t="shared" si="38"/>
        <v>492.87085923611897</v>
      </c>
      <c r="P83" s="6">
        <f t="shared" si="36"/>
        <v>8380.1549381352179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outlineLevel="1" x14ac:dyDescent="0.25">
      <c r="A84" s="35" t="s">
        <v>100</v>
      </c>
      <c r="B84" s="26"/>
      <c r="C84" s="129"/>
      <c r="D84" s="35">
        <f t="shared" ref="D84:P84" si="39">SUM(D81:D83)</f>
        <v>44800.696135483871</v>
      </c>
      <c r="E84" s="35">
        <f t="shared" si="39"/>
        <v>51533.597464903054</v>
      </c>
      <c r="F84" s="35">
        <f t="shared" si="39"/>
        <v>49701.160973690297</v>
      </c>
      <c r="G84" s="35">
        <f t="shared" si="39"/>
        <v>60924.69241664045</v>
      </c>
      <c r="H84" s="35">
        <f t="shared" si="39"/>
        <v>72462.443841887391</v>
      </c>
      <c r="I84" s="35">
        <f t="shared" si="39"/>
        <v>91297.6166140188</v>
      </c>
      <c r="J84" s="35">
        <f t="shared" si="39"/>
        <v>114503.82860050429</v>
      </c>
      <c r="K84" s="35">
        <f t="shared" si="39"/>
        <v>142477.04603224315</v>
      </c>
      <c r="L84" s="35">
        <f t="shared" si="39"/>
        <v>174320.78343906673</v>
      </c>
      <c r="M84" s="35">
        <f t="shared" si="39"/>
        <v>209276.23194058018</v>
      </c>
      <c r="N84" s="35">
        <f t="shared" si="39"/>
        <v>237378.14989194943</v>
      </c>
      <c r="O84" s="35">
        <f t="shared" si="39"/>
        <v>78369.434851772618</v>
      </c>
      <c r="P84" s="35">
        <f t="shared" si="39"/>
        <v>91297.6166140188</v>
      </c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outlineLevel="1" x14ac:dyDescent="0.25">
      <c r="A85" s="6" t="s">
        <v>101</v>
      </c>
      <c r="B85" s="6"/>
      <c r="C85" s="7"/>
      <c r="D85" s="19">
        <f>'[1]Target statements'!$C$27</f>
        <v>25481.630824372758</v>
      </c>
      <c r="E85" s="19">
        <f>'[1]Target statements'!$D$27</f>
        <v>23717.517921146951</v>
      </c>
      <c r="F85" s="19">
        <f>'[1]Target statements'!$E$27</f>
        <v>22482.638888888887</v>
      </c>
      <c r="G85" s="19">
        <f>'[1]Target statements'!$F$27</f>
        <v>21618.223566308243</v>
      </c>
      <c r="H85" s="19">
        <f>'[1]Target statements'!$G$27</f>
        <v>21013.132840501792</v>
      </c>
      <c r="I85" s="6">
        <f t="shared" ref="I85:O85" si="40">I142</f>
        <v>22560.506272401435</v>
      </c>
      <c r="J85" s="6">
        <f t="shared" si="40"/>
        <v>23798.405017921148</v>
      </c>
      <c r="K85" s="6">
        <f t="shared" si="40"/>
        <v>24788.72401433692</v>
      </c>
      <c r="L85" s="6">
        <f t="shared" si="40"/>
        <v>25580.979211469537</v>
      </c>
      <c r="M85" s="6">
        <f t="shared" si="40"/>
        <v>26214.783369175631</v>
      </c>
      <c r="N85" s="6">
        <f t="shared" si="40"/>
        <v>26721.826695340504</v>
      </c>
      <c r="O85" s="6">
        <f t="shared" si="40"/>
        <v>21786.819556451614</v>
      </c>
      <c r="P85" s="6">
        <f>+I85</f>
        <v>22560.506272401435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outlineLevel="1" x14ac:dyDescent="0.25">
      <c r="A86" s="6" t="s">
        <v>102</v>
      </c>
      <c r="B86" s="6"/>
      <c r="C86" s="7"/>
      <c r="D86" s="19"/>
      <c r="E86" s="19"/>
      <c r="F86" s="19"/>
      <c r="G86" s="19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outlineLevel="1" x14ac:dyDescent="0.25">
      <c r="A87" s="61" t="s">
        <v>103</v>
      </c>
      <c r="B87" s="61"/>
      <c r="C87" s="125"/>
      <c r="D87" s="61">
        <f t="shared" ref="D87:P87" si="41">SUM(D84:D86)</f>
        <v>70282.326959856626</v>
      </c>
      <c r="E87" s="61">
        <f t="shared" si="41"/>
        <v>75251.115386050005</v>
      </c>
      <c r="F87" s="61">
        <f t="shared" si="41"/>
        <v>72183.799862579181</v>
      </c>
      <c r="G87" s="61">
        <f t="shared" si="41"/>
        <v>82542.915982948689</v>
      </c>
      <c r="H87" s="61">
        <f t="shared" si="41"/>
        <v>93475.57668238919</v>
      </c>
      <c r="I87" s="61">
        <f t="shared" si="41"/>
        <v>113858.12288642023</v>
      </c>
      <c r="J87" s="61">
        <f t="shared" si="41"/>
        <v>138302.23361842544</v>
      </c>
      <c r="K87" s="61">
        <f t="shared" si="41"/>
        <v>167265.77004658006</v>
      </c>
      <c r="L87" s="61">
        <f t="shared" si="41"/>
        <v>199901.76265053626</v>
      </c>
      <c r="M87" s="61">
        <f t="shared" si="41"/>
        <v>235491.01530975581</v>
      </c>
      <c r="N87" s="61">
        <f t="shared" si="41"/>
        <v>264099.97658728994</v>
      </c>
      <c r="O87" s="61">
        <f t="shared" si="41"/>
        <v>100156.25440822422</v>
      </c>
      <c r="P87" s="61">
        <f t="shared" si="41"/>
        <v>113858.12288642023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outlineLevel="1" x14ac:dyDescent="0.25">
      <c r="A88" s="25"/>
      <c r="B88" s="25"/>
      <c r="C88" s="122"/>
      <c r="D88" s="114"/>
      <c r="E88" s="114"/>
      <c r="F88" s="114"/>
      <c r="G88" s="114"/>
      <c r="H88" s="114"/>
      <c r="I88" s="25"/>
      <c r="J88" s="25"/>
      <c r="K88" s="25"/>
      <c r="L88" s="25"/>
      <c r="M88" s="25"/>
      <c r="N88" s="25"/>
      <c r="O88" s="25"/>
      <c r="P88" s="25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outlineLevel="1" x14ac:dyDescent="0.25">
      <c r="A89" s="25" t="s">
        <v>104</v>
      </c>
      <c r="B89" s="6"/>
      <c r="C89" s="126"/>
      <c r="D89" s="19"/>
      <c r="E89" s="19"/>
      <c r="F89" s="19"/>
      <c r="G89" s="19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outlineLevel="1" x14ac:dyDescent="0.25">
      <c r="A90" s="6" t="s">
        <v>105</v>
      </c>
      <c r="B90" s="6"/>
      <c r="C90" s="126"/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outlineLevel="1" x14ac:dyDescent="0.25">
      <c r="A91" s="6" t="s">
        <v>106</v>
      </c>
      <c r="B91" s="6"/>
      <c r="C91" s="126"/>
      <c r="D91" s="19">
        <f>'[1]Target statements'!$C$33</f>
        <v>2185.4278673835124</v>
      </c>
      <c r="E91" s="19">
        <f>'[1]Target statements'!$D$33</f>
        <v>2688.3960573476702</v>
      </c>
      <c r="F91" s="19">
        <f>'[1]Target statements'!$E$33</f>
        <v>2751.0640681003583</v>
      </c>
      <c r="G91" s="19">
        <f>'[1]Target statements'!$F$33</f>
        <v>2948.8127240143372</v>
      </c>
      <c r="H91" s="19">
        <f>'[1]Target statements'!$G$33</f>
        <v>3175.9632616487452</v>
      </c>
      <c r="I91" s="124">
        <f t="shared" ref="I91:O91" si="42">I64*I54/I5</f>
        <v>4357.6805678303126</v>
      </c>
      <c r="J91" s="124">
        <f t="shared" si="42"/>
        <v>4892.0152088856967</v>
      </c>
      <c r="K91" s="124">
        <f t="shared" si="42"/>
        <v>5345.421496538519</v>
      </c>
      <c r="L91" s="124">
        <f t="shared" si="42"/>
        <v>5863.8981717492234</v>
      </c>
      <c r="M91" s="124">
        <f t="shared" si="42"/>
        <v>6350.3607378877614</v>
      </c>
      <c r="N91" s="124">
        <f t="shared" si="42"/>
        <v>6731.3823821610276</v>
      </c>
      <c r="O91" s="124">
        <f t="shared" si="42"/>
        <v>256.29284680278187</v>
      </c>
      <c r="P91" s="6">
        <f>+I91</f>
        <v>4357.6805678303126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outlineLevel="1" x14ac:dyDescent="0.25">
      <c r="A92" s="35" t="s">
        <v>107</v>
      </c>
      <c r="B92" s="35"/>
      <c r="C92" s="131"/>
      <c r="D92" s="35">
        <f t="shared" ref="D92:P92" si="43">SUM(D90:D91)</f>
        <v>2185.4278673835124</v>
      </c>
      <c r="E92" s="35">
        <f t="shared" si="43"/>
        <v>2688.3960573476702</v>
      </c>
      <c r="F92" s="35">
        <f t="shared" si="43"/>
        <v>2751.0640681003583</v>
      </c>
      <c r="G92" s="35">
        <f t="shared" si="43"/>
        <v>2948.8127240143372</v>
      </c>
      <c r="H92" s="35">
        <f t="shared" si="43"/>
        <v>3175.9632616487452</v>
      </c>
      <c r="I92" s="35">
        <f t="shared" si="43"/>
        <v>4357.6805678303126</v>
      </c>
      <c r="J92" s="35">
        <f t="shared" si="43"/>
        <v>4892.0152088856967</v>
      </c>
      <c r="K92" s="35">
        <f t="shared" si="43"/>
        <v>5345.421496538519</v>
      </c>
      <c r="L92" s="35">
        <f t="shared" si="43"/>
        <v>5863.8981717492234</v>
      </c>
      <c r="M92" s="35">
        <f t="shared" si="43"/>
        <v>6350.3607378877614</v>
      </c>
      <c r="N92" s="35">
        <f t="shared" si="43"/>
        <v>6731.3823821610276</v>
      </c>
      <c r="O92" s="35">
        <f t="shared" si="43"/>
        <v>256.29284680278187</v>
      </c>
      <c r="P92" s="35">
        <f t="shared" si="43"/>
        <v>4357.6805678303126</v>
      </c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outlineLevel="1" x14ac:dyDescent="0.25">
      <c r="A93" s="6" t="s">
        <v>108</v>
      </c>
      <c r="B93" s="6"/>
      <c r="C93" s="7"/>
      <c r="D93" s="19">
        <f>'[2]Target statements'!$C$35</f>
        <v>28001.792114695301</v>
      </c>
      <c r="E93" s="19">
        <f>'[1]Target statements'!$D$35</f>
        <v>28001.792114695338</v>
      </c>
      <c r="F93" s="19">
        <f>'[1]Target statements'!$E$35</f>
        <v>16801.075268817203</v>
      </c>
      <c r="G93" s="19">
        <f>'[1]Target statements'!$F$35</f>
        <v>16801.075268817203</v>
      </c>
      <c r="H93" s="19">
        <f>'[1]Target statements'!$G$35</f>
        <v>16801.075268817203</v>
      </c>
      <c r="I93" s="6">
        <f>I147</f>
        <v>16801.075268817203</v>
      </c>
      <c r="J93" s="6">
        <f t="shared" ref="J93:O93" si="44">J147</f>
        <v>16801.075268817203</v>
      </c>
      <c r="K93" s="6">
        <f t="shared" si="44"/>
        <v>16801.075268817203</v>
      </c>
      <c r="L93" s="6">
        <f t="shared" si="44"/>
        <v>16801.075268817203</v>
      </c>
      <c r="M93" s="6">
        <f t="shared" si="44"/>
        <v>16801.075268817203</v>
      </c>
      <c r="N93" s="6">
        <f t="shared" si="44"/>
        <v>6801.0752688172033</v>
      </c>
      <c r="O93" s="6">
        <f t="shared" si="44"/>
        <v>16801.075268817203</v>
      </c>
      <c r="P93" s="6">
        <f>+I93</f>
        <v>16801.075268817203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outlineLevel="1" x14ac:dyDescent="0.25">
      <c r="A94" s="35" t="s">
        <v>109</v>
      </c>
      <c r="B94" s="35"/>
      <c r="C94" s="49"/>
      <c r="D94" s="35">
        <f t="shared" ref="D94:P94" si="45">SUM(D92:D93)</f>
        <v>30187.219982078816</v>
      </c>
      <c r="E94" s="35">
        <f t="shared" si="45"/>
        <v>30690.188172043006</v>
      </c>
      <c r="F94" s="35">
        <f t="shared" si="45"/>
        <v>19552.13933691756</v>
      </c>
      <c r="G94" s="35">
        <f t="shared" si="45"/>
        <v>19749.88799283154</v>
      </c>
      <c r="H94" s="35">
        <f t="shared" si="45"/>
        <v>19977.03853046595</v>
      </c>
      <c r="I94" s="35">
        <f t="shared" si="45"/>
        <v>21158.755836647517</v>
      </c>
      <c r="J94" s="35">
        <f t="shared" si="45"/>
        <v>21693.090477702899</v>
      </c>
      <c r="K94" s="35">
        <f t="shared" si="45"/>
        <v>22146.496765355721</v>
      </c>
      <c r="L94" s="35">
        <f t="shared" si="45"/>
        <v>22664.973440566428</v>
      </c>
      <c r="M94" s="35">
        <f t="shared" si="45"/>
        <v>23151.436006704964</v>
      </c>
      <c r="N94" s="35">
        <f t="shared" si="45"/>
        <v>13532.457650978231</v>
      </c>
      <c r="O94" s="35">
        <f t="shared" si="45"/>
        <v>17057.368115619985</v>
      </c>
      <c r="P94" s="35">
        <f t="shared" si="45"/>
        <v>21158.755836647517</v>
      </c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outlineLevel="1" x14ac:dyDescent="0.25">
      <c r="A95" s="25" t="s">
        <v>110</v>
      </c>
      <c r="B95" s="6"/>
      <c r="C95" s="7"/>
      <c r="D95" s="19"/>
      <c r="E95" s="19"/>
      <c r="F95" s="19"/>
      <c r="G95" s="19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outlineLevel="1" x14ac:dyDescent="0.25">
      <c r="A96" s="6" t="s">
        <v>111</v>
      </c>
      <c r="B96" s="6"/>
      <c r="C96" s="7"/>
      <c r="D96" s="19">
        <f>'[1]Target statements'!$C$38</f>
        <v>39202.508960573476</v>
      </c>
      <c r="E96" s="19">
        <f>'[1]Target statements'!$D$38</f>
        <v>39202.508960573476</v>
      </c>
      <c r="F96" s="19">
        <f>'[1]Target statements'!$D$38</f>
        <v>39202.508960573476</v>
      </c>
      <c r="G96" s="19">
        <f>'[1]Target statements'!$D$38</f>
        <v>39202.508960573476</v>
      </c>
      <c r="H96" s="19">
        <f>'[1]Target statements'!$D$38</f>
        <v>39202.508960573476</v>
      </c>
      <c r="I96" s="6">
        <f>H96+I57</f>
        <v>39202.508960573476</v>
      </c>
      <c r="J96" s="6">
        <f t="shared" ref="J96:N96" si="46">I96+J57</f>
        <v>39202.508960573476</v>
      </c>
      <c r="K96" s="6">
        <f t="shared" si="46"/>
        <v>39202.508960573476</v>
      </c>
      <c r="L96" s="6">
        <f t="shared" si="46"/>
        <v>39202.508960573476</v>
      </c>
      <c r="M96" s="6">
        <f t="shared" si="46"/>
        <v>39202.508960573476</v>
      </c>
      <c r="N96" s="6">
        <f t="shared" si="46"/>
        <v>39202.508960573476</v>
      </c>
      <c r="O96" s="6">
        <f>H96+O57</f>
        <v>39202.508960573476</v>
      </c>
      <c r="P96" s="6">
        <f t="shared" ref="P96:P97" si="47">+I96</f>
        <v>39202.508960573476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outlineLevel="1" x14ac:dyDescent="0.25">
      <c r="A97" s="6" t="s">
        <v>112</v>
      </c>
      <c r="B97" s="6"/>
      <c r="C97" s="7"/>
      <c r="D97" s="19">
        <f>'[2]Target statements'!$C$39</f>
        <v>893</v>
      </c>
      <c r="E97" s="6">
        <f t="shared" ref="E97:H97" si="48">+D97+E107</f>
        <v>5358.8202362292222</v>
      </c>
      <c r="F97" s="6">
        <f t="shared" si="48"/>
        <v>13429.553547883843</v>
      </c>
      <c r="G97" s="6">
        <f t="shared" si="48"/>
        <v>23590.921012339371</v>
      </c>
      <c r="H97" s="6">
        <f t="shared" si="48"/>
        <v>34296.431174145458</v>
      </c>
      <c r="I97" s="6">
        <f t="shared" ref="I97:N97" si="49">+H97+I75-I58</f>
        <v>53497.392688482374</v>
      </c>
      <c r="J97" s="6">
        <f t="shared" si="49"/>
        <v>77407.168779432192</v>
      </c>
      <c r="K97" s="6">
        <f t="shared" si="49"/>
        <v>105917.29891993398</v>
      </c>
      <c r="L97" s="6">
        <f t="shared" si="49"/>
        <v>138034.8148486795</v>
      </c>
      <c r="M97" s="6">
        <f t="shared" si="49"/>
        <v>173137.60494176051</v>
      </c>
      <c r="N97" s="6">
        <f t="shared" si="49"/>
        <v>211365.54457502137</v>
      </c>
      <c r="O97" s="6">
        <f>+H97+O75-O58</f>
        <v>43896.911931313916</v>
      </c>
      <c r="P97" s="6">
        <f t="shared" si="47"/>
        <v>53497.392688482374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outlineLevel="1" x14ac:dyDescent="0.25">
      <c r="A98" s="64" t="s">
        <v>110</v>
      </c>
      <c r="B98" s="64"/>
      <c r="C98" s="74"/>
      <c r="D98" s="64">
        <f t="shared" ref="D98:P98" si="50">SUM(D96:D97)</f>
        <v>40095.508960573476</v>
      </c>
      <c r="E98" s="64">
        <f t="shared" si="50"/>
        <v>44561.329196802697</v>
      </c>
      <c r="F98" s="64">
        <f t="shared" si="50"/>
        <v>52632.062508457318</v>
      </c>
      <c r="G98" s="64">
        <f t="shared" si="50"/>
        <v>62793.429972912847</v>
      </c>
      <c r="H98" s="64">
        <f t="shared" si="50"/>
        <v>73498.940134718927</v>
      </c>
      <c r="I98" s="64">
        <f t="shared" si="50"/>
        <v>92699.901649055857</v>
      </c>
      <c r="J98" s="64">
        <f t="shared" si="50"/>
        <v>116609.67774000566</v>
      </c>
      <c r="K98" s="64">
        <f t="shared" si="50"/>
        <v>145119.80788050746</v>
      </c>
      <c r="L98" s="64">
        <f t="shared" si="50"/>
        <v>177237.32380925296</v>
      </c>
      <c r="M98" s="64">
        <f t="shared" si="50"/>
        <v>212340.11390233398</v>
      </c>
      <c r="N98" s="64">
        <f t="shared" si="50"/>
        <v>250568.05353559484</v>
      </c>
      <c r="O98" s="64">
        <f t="shared" si="50"/>
        <v>83099.420891887392</v>
      </c>
      <c r="P98" s="64">
        <f t="shared" si="50"/>
        <v>92699.901649055857</v>
      </c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outlineLevel="1" x14ac:dyDescent="0.25">
      <c r="A99" s="61" t="s">
        <v>113</v>
      </c>
      <c r="B99" s="61"/>
      <c r="C99" s="125"/>
      <c r="D99" s="61">
        <f t="shared" ref="D99:H99" si="51">D94+D98</f>
        <v>70282.728942652291</v>
      </c>
      <c r="E99" s="61">
        <f t="shared" si="51"/>
        <v>75251.5173688457</v>
      </c>
      <c r="F99" s="61">
        <f t="shared" si="51"/>
        <v>72184.201845374875</v>
      </c>
      <c r="G99" s="61">
        <f t="shared" si="51"/>
        <v>82543.317965744383</v>
      </c>
      <c r="H99" s="61">
        <f t="shared" si="51"/>
        <v>93475.97866518487</v>
      </c>
      <c r="I99" s="61">
        <f t="shared" ref="I99:P99" si="52">I98+I94</f>
        <v>113858.65748570337</v>
      </c>
      <c r="J99" s="61">
        <f t="shared" si="52"/>
        <v>138302.76821770857</v>
      </c>
      <c r="K99" s="61">
        <f t="shared" si="52"/>
        <v>167266.30464586319</v>
      </c>
      <c r="L99" s="61">
        <f t="shared" si="52"/>
        <v>199902.29724981938</v>
      </c>
      <c r="M99" s="61">
        <f t="shared" si="52"/>
        <v>235491.54990903893</v>
      </c>
      <c r="N99" s="61">
        <f t="shared" si="52"/>
        <v>264100.51118657307</v>
      </c>
      <c r="O99" s="61">
        <f t="shared" si="52"/>
        <v>100156.78900750738</v>
      </c>
      <c r="P99" s="61">
        <f t="shared" si="52"/>
        <v>113858.65748570337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outlineLevel="1" x14ac:dyDescent="0.25">
      <c r="A100" s="6"/>
      <c r="B100" s="6"/>
      <c r="C100" s="7"/>
      <c r="D100" s="19"/>
      <c r="E100" s="19"/>
      <c r="F100" s="19"/>
      <c r="G100" s="19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outlineLevel="1" x14ac:dyDescent="0.25">
      <c r="A101" s="50" t="s">
        <v>114</v>
      </c>
      <c r="B101" s="132"/>
      <c r="C101" s="133"/>
      <c r="D101" s="132">
        <f t="shared" ref="D101:P101" si="53">D99-D87</f>
        <v>0.40198279566538986</v>
      </c>
      <c r="E101" s="132">
        <f t="shared" si="53"/>
        <v>0.40198279569449369</v>
      </c>
      <c r="F101" s="132">
        <f t="shared" si="53"/>
        <v>0.40198279569449369</v>
      </c>
      <c r="G101" s="132">
        <f t="shared" si="53"/>
        <v>0.40198279569449369</v>
      </c>
      <c r="H101" s="132">
        <f t="shared" si="53"/>
        <v>0.40198279567994177</v>
      </c>
      <c r="I101" s="132">
        <f t="shared" si="53"/>
        <v>0.53459928314259741</v>
      </c>
      <c r="J101" s="132">
        <f t="shared" si="53"/>
        <v>0.5345992831280455</v>
      </c>
      <c r="K101" s="132">
        <f t="shared" si="53"/>
        <v>0.5345992831280455</v>
      </c>
      <c r="L101" s="132">
        <f t="shared" si="53"/>
        <v>0.5345992831280455</v>
      </c>
      <c r="M101" s="132">
        <f t="shared" si="53"/>
        <v>0.5345992831280455</v>
      </c>
      <c r="N101" s="132">
        <f t="shared" si="53"/>
        <v>0.5345992831280455</v>
      </c>
      <c r="O101" s="132">
        <f t="shared" si="53"/>
        <v>0.53459928315714933</v>
      </c>
      <c r="P101" s="132">
        <f t="shared" si="53"/>
        <v>0.53459928314259741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outlineLevel="1" x14ac:dyDescent="0.25">
      <c r="A102" s="132"/>
      <c r="B102" s="132"/>
      <c r="C102" s="133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x14ac:dyDescent="0.25">
      <c r="A103" s="6"/>
      <c r="B103" s="6"/>
      <c r="C103" s="7"/>
      <c r="D103" s="19"/>
      <c r="E103" s="19"/>
      <c r="F103" s="19"/>
      <c r="G103" s="19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1" x14ac:dyDescent="0.35">
      <c r="A104" s="9" t="s">
        <v>186</v>
      </c>
      <c r="B104" s="10"/>
      <c r="C104" s="1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outlineLevel="1" x14ac:dyDescent="0.25">
      <c r="A105" s="25"/>
      <c r="B105" s="6"/>
      <c r="C105" s="7"/>
      <c r="D105" s="114"/>
      <c r="E105" s="19"/>
      <c r="F105" s="19"/>
      <c r="G105" s="19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outlineLevel="1" x14ac:dyDescent="0.25">
      <c r="A106" s="25" t="s">
        <v>187</v>
      </c>
      <c r="B106" s="6"/>
      <c r="C106" s="7"/>
      <c r="D106" s="19"/>
      <c r="E106" s="19"/>
      <c r="F106" s="19"/>
      <c r="G106" s="19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outlineLevel="1" x14ac:dyDescent="0.25">
      <c r="A107" s="6" t="s">
        <v>184</v>
      </c>
      <c r="B107" s="6"/>
      <c r="C107" s="7"/>
      <c r="D107" s="6">
        <f t="shared" ref="D107:P107" si="54">D75</f>
        <v>892.59801720430528</v>
      </c>
      <c r="E107" s="6">
        <f t="shared" si="54"/>
        <v>4465.8202362292222</v>
      </c>
      <c r="F107" s="6">
        <f t="shared" si="54"/>
        <v>8070.7333116546197</v>
      </c>
      <c r="G107" s="6">
        <f t="shared" si="54"/>
        <v>10161.367464455527</v>
      </c>
      <c r="H107" s="6">
        <f t="shared" si="54"/>
        <v>10705.510161806085</v>
      </c>
      <c r="I107" s="6">
        <f t="shared" si="54"/>
        <v>19200.961514336919</v>
      </c>
      <c r="J107" s="6">
        <f t="shared" si="54"/>
        <v>23909.776090949821</v>
      </c>
      <c r="K107" s="6">
        <f t="shared" si="54"/>
        <v>28510.130140501788</v>
      </c>
      <c r="L107" s="6">
        <f t="shared" si="54"/>
        <v>32117.515928745517</v>
      </c>
      <c r="M107" s="6">
        <f t="shared" si="54"/>
        <v>35302.790093081014</v>
      </c>
      <c r="N107" s="6">
        <f t="shared" si="54"/>
        <v>38427.939633260845</v>
      </c>
      <c r="O107" s="6">
        <f t="shared" si="54"/>
        <v>9600.4807571684596</v>
      </c>
      <c r="P107" s="6">
        <f t="shared" si="54"/>
        <v>9600.4807571684596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outlineLevel="1" x14ac:dyDescent="0.25">
      <c r="A108" s="6" t="s">
        <v>188</v>
      </c>
      <c r="B108" s="6"/>
      <c r="C108" s="7"/>
      <c r="D108" s="6">
        <f t="shared" ref="D108:P108" si="55">D69</f>
        <v>10920.698924731183</v>
      </c>
      <c r="E108" s="6">
        <f t="shared" si="55"/>
        <v>10164.650537634408</v>
      </c>
      <c r="F108" s="6">
        <f t="shared" si="55"/>
        <v>9635.4166666666661</v>
      </c>
      <c r="G108" s="6">
        <f t="shared" si="55"/>
        <v>9264.9529569892475</v>
      </c>
      <c r="H108" s="6">
        <f t="shared" si="55"/>
        <v>9005.6283602150525</v>
      </c>
      <c r="I108" s="6">
        <f t="shared" si="55"/>
        <v>4202.6265681003588</v>
      </c>
      <c r="J108" s="6">
        <f t="shared" si="55"/>
        <v>4512.101254480287</v>
      </c>
      <c r="K108" s="6">
        <f t="shared" si="55"/>
        <v>4759.68100358423</v>
      </c>
      <c r="L108" s="6">
        <f t="shared" si="55"/>
        <v>4957.7448028673844</v>
      </c>
      <c r="M108" s="6">
        <f t="shared" si="55"/>
        <v>5116.1958422939078</v>
      </c>
      <c r="N108" s="6">
        <f t="shared" si="55"/>
        <v>5242.9566738351268</v>
      </c>
      <c r="O108" s="6">
        <f t="shared" si="55"/>
        <v>2101.3132840501794</v>
      </c>
      <c r="P108" s="6">
        <f t="shared" si="55"/>
        <v>2101.3132840501794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outlineLevel="1" x14ac:dyDescent="0.25">
      <c r="A109" s="6" t="s">
        <v>189</v>
      </c>
      <c r="B109" s="6"/>
      <c r="C109" s="7"/>
      <c r="D109" s="19"/>
      <c r="E109" s="6">
        <f t="shared" ref="E109:P109" si="56">E136</f>
        <v>953.20900537634407</v>
      </c>
      <c r="F109" s="6">
        <f t="shared" si="56"/>
        <v>433.94377240143331</v>
      </c>
      <c r="G109" s="6">
        <f t="shared" si="56"/>
        <v>505.65636200717017</v>
      </c>
      <c r="H109" s="6">
        <f t="shared" si="56"/>
        <v>463.23364695340206</v>
      </c>
      <c r="I109" s="6">
        <f t="shared" si="56"/>
        <v>2477.4315313988336</v>
      </c>
      <c r="J109" s="6">
        <f t="shared" si="56"/>
        <v>147.38431224529631</v>
      </c>
      <c r="K109" s="6">
        <f t="shared" si="56"/>
        <v>1079.3639560318188</v>
      </c>
      <c r="L109" s="6">
        <f t="shared" si="56"/>
        <v>1076.8361715914616</v>
      </c>
      <c r="M109" s="6">
        <f t="shared" si="56"/>
        <v>1010.3453296723492</v>
      </c>
      <c r="N109" s="6">
        <f t="shared" si="56"/>
        <v>791.35264579832074</v>
      </c>
      <c r="O109" s="6">
        <f t="shared" si="56"/>
        <v>-6817.0441831641692</v>
      </c>
      <c r="P109" s="6">
        <f t="shared" si="56"/>
        <v>9294.4757145630028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outlineLevel="1" x14ac:dyDescent="0.25">
      <c r="A110" s="35" t="s">
        <v>190</v>
      </c>
      <c r="B110" s="26"/>
      <c r="C110" s="45"/>
      <c r="D110" s="35">
        <f t="shared" ref="D110:P110" si="57">D107+D108-D109</f>
        <v>11813.296941935489</v>
      </c>
      <c r="E110" s="35">
        <f t="shared" si="57"/>
        <v>13677.261768487288</v>
      </c>
      <c r="F110" s="35">
        <f t="shared" si="57"/>
        <v>17272.206205919851</v>
      </c>
      <c r="G110" s="35">
        <f t="shared" si="57"/>
        <v>18920.664059437608</v>
      </c>
      <c r="H110" s="35">
        <f t="shared" si="57"/>
        <v>19247.904875067736</v>
      </c>
      <c r="I110" s="35">
        <f t="shared" si="57"/>
        <v>20926.156551038446</v>
      </c>
      <c r="J110" s="35">
        <f t="shared" si="57"/>
        <v>28274.493033184812</v>
      </c>
      <c r="K110" s="35">
        <f t="shared" si="57"/>
        <v>32190.447188054197</v>
      </c>
      <c r="L110" s="35">
        <f t="shared" si="57"/>
        <v>35998.424560021434</v>
      </c>
      <c r="M110" s="35">
        <f t="shared" si="57"/>
        <v>39408.640605702574</v>
      </c>
      <c r="N110" s="35">
        <f t="shared" si="57"/>
        <v>42879.543661297648</v>
      </c>
      <c r="O110" s="35">
        <f t="shared" si="57"/>
        <v>18518.838224382809</v>
      </c>
      <c r="P110" s="35">
        <f t="shared" si="57"/>
        <v>2407.3183266556371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outlineLevel="1" x14ac:dyDescent="0.25">
      <c r="A111" s="25"/>
      <c r="B111" s="6"/>
      <c r="C111" s="7"/>
      <c r="D111" s="114"/>
      <c r="E111" s="114"/>
      <c r="F111" s="114"/>
      <c r="G111" s="114"/>
      <c r="H111" s="114"/>
      <c r="I111" s="25"/>
      <c r="J111" s="25"/>
      <c r="K111" s="25"/>
      <c r="L111" s="25"/>
      <c r="M111" s="25"/>
      <c r="N111" s="25"/>
      <c r="O111" s="25"/>
      <c r="P111" s="25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outlineLevel="1" x14ac:dyDescent="0.25">
      <c r="A112" s="25" t="s">
        <v>191</v>
      </c>
      <c r="B112" s="6"/>
      <c r="C112" s="7"/>
      <c r="D112" s="19"/>
      <c r="E112" s="19"/>
      <c r="F112" s="19"/>
      <c r="G112" s="19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outlineLevel="1" x14ac:dyDescent="0.25">
      <c r="A113" s="6" t="s">
        <v>192</v>
      </c>
      <c r="B113" s="6"/>
      <c r="C113" s="7"/>
      <c r="D113" s="19">
        <v>-8401</v>
      </c>
      <c r="E113" s="19">
        <v>-8401</v>
      </c>
      <c r="F113" s="19">
        <v>-8401</v>
      </c>
      <c r="G113" s="19">
        <v>-8401</v>
      </c>
      <c r="H113" s="19">
        <v>-8401</v>
      </c>
      <c r="I113" s="6">
        <f t="shared" ref="I113:P113" si="58">-I140</f>
        <v>-5750</v>
      </c>
      <c r="J113" s="6">
        <f t="shared" si="58"/>
        <v>-5750</v>
      </c>
      <c r="K113" s="6">
        <f t="shared" si="58"/>
        <v>-5750</v>
      </c>
      <c r="L113" s="6">
        <f t="shared" si="58"/>
        <v>-5750</v>
      </c>
      <c r="M113" s="6">
        <f t="shared" si="58"/>
        <v>-5750</v>
      </c>
      <c r="N113" s="6">
        <f t="shared" si="58"/>
        <v>-5750</v>
      </c>
      <c r="O113" s="6">
        <f t="shared" si="58"/>
        <v>-2875</v>
      </c>
      <c r="P113" s="6">
        <f t="shared" si="58"/>
        <v>-2875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outlineLevel="1" x14ac:dyDescent="0.25">
      <c r="A114" s="6" t="s">
        <v>193</v>
      </c>
      <c r="B114" s="6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outlineLevel="1" x14ac:dyDescent="0.25">
      <c r="A115" s="35" t="s">
        <v>194</v>
      </c>
      <c r="B115" s="26"/>
      <c r="C115" s="45"/>
      <c r="D115" s="35">
        <f t="shared" ref="D115:P115" si="59">SUM(D113:D114)</f>
        <v>-8401</v>
      </c>
      <c r="E115" s="35">
        <f t="shared" si="59"/>
        <v>-8401</v>
      </c>
      <c r="F115" s="35">
        <f t="shared" si="59"/>
        <v>-8401</v>
      </c>
      <c r="G115" s="35">
        <f t="shared" si="59"/>
        <v>-8401</v>
      </c>
      <c r="H115" s="35">
        <f t="shared" si="59"/>
        <v>-8401</v>
      </c>
      <c r="I115" s="35">
        <f t="shared" si="59"/>
        <v>-5750</v>
      </c>
      <c r="J115" s="35">
        <f t="shared" si="59"/>
        <v>-5750</v>
      </c>
      <c r="K115" s="35">
        <f t="shared" si="59"/>
        <v>-5750</v>
      </c>
      <c r="L115" s="35">
        <f t="shared" si="59"/>
        <v>-5750</v>
      </c>
      <c r="M115" s="35">
        <f t="shared" si="59"/>
        <v>-5750</v>
      </c>
      <c r="N115" s="35">
        <f t="shared" si="59"/>
        <v>-5750</v>
      </c>
      <c r="O115" s="35">
        <f t="shared" si="59"/>
        <v>-2875</v>
      </c>
      <c r="P115" s="35">
        <f t="shared" si="59"/>
        <v>-2875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outlineLevel="1" x14ac:dyDescent="0.25">
      <c r="A116" s="25"/>
      <c r="B116" s="6"/>
      <c r="C116" s="7"/>
      <c r="D116" s="114"/>
      <c r="E116" s="114"/>
      <c r="F116" s="114"/>
      <c r="G116" s="114"/>
      <c r="H116" s="114"/>
      <c r="I116" s="25"/>
      <c r="J116" s="25"/>
      <c r="K116" s="25"/>
      <c r="L116" s="25"/>
      <c r="M116" s="25"/>
      <c r="N116" s="25"/>
      <c r="O116" s="25"/>
      <c r="P116" s="25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outlineLevel="1" x14ac:dyDescent="0.25">
      <c r="A117" s="25" t="s">
        <v>195</v>
      </c>
      <c r="B117" s="6"/>
      <c r="C117" s="7"/>
      <c r="D117" s="19"/>
      <c r="E117" s="19"/>
      <c r="F117" s="19"/>
      <c r="G117" s="19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outlineLevel="1" x14ac:dyDescent="0.25">
      <c r="A118" s="6" t="s">
        <v>196</v>
      </c>
      <c r="B118" s="6"/>
      <c r="C118" s="7"/>
      <c r="D118" s="19">
        <v>0</v>
      </c>
      <c r="E118" s="19">
        <v>0</v>
      </c>
      <c r="F118" s="19">
        <f>'[2]Target statements'!$E$46</f>
        <v>-11199</v>
      </c>
      <c r="G118" s="19">
        <v>0</v>
      </c>
      <c r="H118" s="19">
        <v>0</v>
      </c>
      <c r="I118" s="6">
        <f t="shared" ref="I118:P118" si="60">I146</f>
        <v>0</v>
      </c>
      <c r="J118" s="6">
        <f t="shared" si="60"/>
        <v>0</v>
      </c>
      <c r="K118" s="6">
        <f t="shared" si="60"/>
        <v>0</v>
      </c>
      <c r="L118" s="6">
        <f t="shared" si="60"/>
        <v>0</v>
      </c>
      <c r="M118" s="6">
        <f t="shared" si="60"/>
        <v>0</v>
      </c>
      <c r="N118" s="6">
        <f t="shared" si="60"/>
        <v>-10000</v>
      </c>
      <c r="O118" s="6">
        <f t="shared" si="60"/>
        <v>0</v>
      </c>
      <c r="P118" s="6">
        <f t="shared" si="60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outlineLevel="1" x14ac:dyDescent="0.25">
      <c r="A119" s="6" t="s">
        <v>197</v>
      </c>
      <c r="B119" s="6"/>
      <c r="C119" s="7"/>
      <c r="D119" s="19"/>
      <c r="E119" s="19">
        <v>0</v>
      </c>
      <c r="F119" s="19">
        <v>0</v>
      </c>
      <c r="G119" s="19">
        <v>0</v>
      </c>
      <c r="H119" s="19">
        <v>0</v>
      </c>
      <c r="I119" s="6">
        <f t="shared" ref="I119:P119" si="61">I57</f>
        <v>0</v>
      </c>
      <c r="J119" s="6">
        <f t="shared" si="61"/>
        <v>0</v>
      </c>
      <c r="K119" s="6">
        <f t="shared" si="61"/>
        <v>0</v>
      </c>
      <c r="L119" s="6">
        <f t="shared" si="61"/>
        <v>0</v>
      </c>
      <c r="M119" s="6">
        <f t="shared" si="61"/>
        <v>0</v>
      </c>
      <c r="N119" s="6">
        <f t="shared" si="61"/>
        <v>0</v>
      </c>
      <c r="O119" s="6">
        <f t="shared" si="61"/>
        <v>0</v>
      </c>
      <c r="P119" s="6">
        <f t="shared" si="61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outlineLevel="1" x14ac:dyDescent="0.25">
      <c r="A120" s="6" t="s">
        <v>198</v>
      </c>
      <c r="B120" s="6"/>
      <c r="C120" s="7"/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6">
        <f t="shared" ref="I120:P120" si="62">-I58</f>
        <v>0</v>
      </c>
      <c r="J120" s="6">
        <f t="shared" si="62"/>
        <v>0</v>
      </c>
      <c r="K120" s="6">
        <f t="shared" si="62"/>
        <v>0</v>
      </c>
      <c r="L120" s="6">
        <f t="shared" si="62"/>
        <v>0</v>
      </c>
      <c r="M120" s="6">
        <f t="shared" si="62"/>
        <v>-200</v>
      </c>
      <c r="N120" s="6">
        <f t="shared" si="62"/>
        <v>-200</v>
      </c>
      <c r="O120" s="6">
        <f t="shared" si="62"/>
        <v>0</v>
      </c>
      <c r="P120" s="6">
        <f t="shared" si="62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outlineLevel="1" x14ac:dyDescent="0.25">
      <c r="A121" s="35" t="s">
        <v>199</v>
      </c>
      <c r="B121" s="26"/>
      <c r="C121" s="45"/>
      <c r="D121" s="35">
        <f t="shared" ref="D121:P121" si="63">SUM(D118:D120)</f>
        <v>0</v>
      </c>
      <c r="E121" s="35">
        <f t="shared" si="63"/>
        <v>0</v>
      </c>
      <c r="F121" s="35">
        <f t="shared" si="63"/>
        <v>-11199</v>
      </c>
      <c r="G121" s="35">
        <f t="shared" si="63"/>
        <v>0</v>
      </c>
      <c r="H121" s="35">
        <f t="shared" si="63"/>
        <v>0</v>
      </c>
      <c r="I121" s="35">
        <f t="shared" si="63"/>
        <v>0</v>
      </c>
      <c r="J121" s="35">
        <f t="shared" si="63"/>
        <v>0</v>
      </c>
      <c r="K121" s="35">
        <f t="shared" si="63"/>
        <v>0</v>
      </c>
      <c r="L121" s="35">
        <f t="shared" si="63"/>
        <v>0</v>
      </c>
      <c r="M121" s="35">
        <f t="shared" si="63"/>
        <v>-200</v>
      </c>
      <c r="N121" s="35">
        <f t="shared" si="63"/>
        <v>-10200</v>
      </c>
      <c r="O121" s="35">
        <f t="shared" si="63"/>
        <v>0</v>
      </c>
      <c r="P121" s="35">
        <f t="shared" si="63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outlineLevel="1" x14ac:dyDescent="0.25">
      <c r="A122" s="25"/>
      <c r="B122" s="6"/>
      <c r="C122" s="7"/>
      <c r="D122" s="114"/>
      <c r="E122" s="114"/>
      <c r="F122" s="114"/>
      <c r="G122" s="114"/>
      <c r="H122" s="114"/>
      <c r="I122" s="25"/>
      <c r="J122" s="25"/>
      <c r="K122" s="25"/>
      <c r="L122" s="25"/>
      <c r="M122" s="25"/>
      <c r="N122" s="25"/>
      <c r="O122" s="25"/>
      <c r="P122" s="25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outlineLevel="1" x14ac:dyDescent="0.25">
      <c r="A123" s="6" t="s">
        <v>200</v>
      </c>
      <c r="B123" s="6"/>
      <c r="C123" s="7"/>
      <c r="D123" s="6">
        <f>D110+D115+D121</f>
        <v>3412.2969419354886</v>
      </c>
      <c r="E123" s="6">
        <f t="shared" ref="E123:P123" si="64">E110+E115+E121</f>
        <v>5276.2617684872876</v>
      </c>
      <c r="F123" s="6">
        <f t="shared" si="64"/>
        <v>-2327.7937940801494</v>
      </c>
      <c r="G123" s="6">
        <f t="shared" si="64"/>
        <v>10519.664059437608</v>
      </c>
      <c r="H123" s="6">
        <f t="shared" si="64"/>
        <v>10846.904875067736</v>
      </c>
      <c r="I123" s="6">
        <f t="shared" si="64"/>
        <v>15176.156551038446</v>
      </c>
      <c r="J123" s="6">
        <f t="shared" si="64"/>
        <v>22524.493033184812</v>
      </c>
      <c r="K123" s="6">
        <f t="shared" si="64"/>
        <v>26440.447188054197</v>
      </c>
      <c r="L123" s="6">
        <f t="shared" si="64"/>
        <v>30248.424560021434</v>
      </c>
      <c r="M123" s="6">
        <f t="shared" si="64"/>
        <v>33458.640605702574</v>
      </c>
      <c r="N123" s="6">
        <f t="shared" si="64"/>
        <v>26929.543661297648</v>
      </c>
      <c r="O123" s="6">
        <f t="shared" si="64"/>
        <v>15643.838224382809</v>
      </c>
      <c r="P123" s="6">
        <f t="shared" si="64"/>
        <v>-467.68167334436293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outlineLevel="1" x14ac:dyDescent="0.25">
      <c r="A124" s="6" t="s">
        <v>201</v>
      </c>
      <c r="B124" s="6"/>
      <c r="C124" s="7"/>
      <c r="D124" s="19">
        <f>D81-D123</f>
        <v>34161.164650537627</v>
      </c>
      <c r="E124" s="6">
        <f t="shared" ref="E124:N124" si="65">D125</f>
        <v>37573.461592473119</v>
      </c>
      <c r="F124" s="6">
        <f t="shared" si="65"/>
        <v>42849.723360960408</v>
      </c>
      <c r="G124" s="6">
        <f t="shared" si="65"/>
        <v>40521.929566880259</v>
      </c>
      <c r="H124" s="6">
        <f t="shared" si="65"/>
        <v>51041.593626317866</v>
      </c>
      <c r="I124" s="6">
        <f t="shared" si="65"/>
        <v>61888.498501385606</v>
      </c>
      <c r="J124" s="6">
        <f t="shared" si="65"/>
        <v>77064.655052424059</v>
      </c>
      <c r="K124" s="6">
        <f t="shared" si="65"/>
        <v>99589.148085608875</v>
      </c>
      <c r="L124" s="6">
        <f t="shared" si="65"/>
        <v>126029.59527366307</v>
      </c>
      <c r="M124" s="6">
        <f t="shared" si="65"/>
        <v>156278.01983368449</v>
      </c>
      <c r="N124" s="6">
        <f t="shared" si="65"/>
        <v>189736.66043938708</v>
      </c>
      <c r="O124" s="6">
        <f>+H125</f>
        <v>61888.498501385606</v>
      </c>
      <c r="P124" s="6">
        <f>+O125</f>
        <v>77532.336725768415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outlineLevel="1" x14ac:dyDescent="0.25">
      <c r="A125" s="35" t="s">
        <v>202</v>
      </c>
      <c r="B125" s="26"/>
      <c r="C125" s="45"/>
      <c r="D125" s="35">
        <f t="shared" ref="D125:P125" si="66">SUM(D123:D124)</f>
        <v>37573.461592473119</v>
      </c>
      <c r="E125" s="35">
        <f t="shared" si="66"/>
        <v>42849.723360960408</v>
      </c>
      <c r="F125" s="35">
        <f t="shared" si="66"/>
        <v>40521.929566880259</v>
      </c>
      <c r="G125" s="35">
        <f t="shared" si="66"/>
        <v>51041.593626317866</v>
      </c>
      <c r="H125" s="35">
        <f t="shared" si="66"/>
        <v>61888.498501385606</v>
      </c>
      <c r="I125" s="35">
        <f t="shared" si="66"/>
        <v>77064.655052424059</v>
      </c>
      <c r="J125" s="35">
        <f t="shared" si="66"/>
        <v>99589.148085608875</v>
      </c>
      <c r="K125" s="35">
        <f t="shared" si="66"/>
        <v>126029.59527366307</v>
      </c>
      <c r="L125" s="35">
        <f t="shared" si="66"/>
        <v>156278.01983368449</v>
      </c>
      <c r="M125" s="35">
        <f t="shared" si="66"/>
        <v>189736.66043938708</v>
      </c>
      <c r="N125" s="35">
        <f t="shared" si="66"/>
        <v>216666.20410068473</v>
      </c>
      <c r="O125" s="35">
        <f t="shared" si="66"/>
        <v>77532.336725768415</v>
      </c>
      <c r="P125" s="35">
        <f t="shared" si="66"/>
        <v>77064.655052424059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outlineLevel="1" x14ac:dyDescent="0.25">
      <c r="A126" s="25"/>
      <c r="B126" s="6"/>
      <c r="C126" s="7"/>
      <c r="D126" s="114"/>
      <c r="E126" s="19"/>
      <c r="F126" s="19"/>
      <c r="G126" s="19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outlineLevel="1" x14ac:dyDescent="0.25">
      <c r="A127" s="25"/>
      <c r="B127" s="6"/>
      <c r="C127" s="7"/>
      <c r="D127" s="114"/>
      <c r="E127" s="19"/>
      <c r="F127" s="19"/>
      <c r="G127" s="19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x14ac:dyDescent="0.25">
      <c r="A128" s="6"/>
      <c r="B128" s="6"/>
      <c r="C128" s="7"/>
      <c r="D128" s="19"/>
      <c r="E128" s="19"/>
      <c r="F128" s="19"/>
      <c r="G128" s="19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1" x14ac:dyDescent="0.35">
      <c r="A129" s="9" t="s">
        <v>203</v>
      </c>
      <c r="B129" s="10"/>
      <c r="C129" s="11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outlineLevel="1" x14ac:dyDescent="0.25">
      <c r="A130" s="6"/>
      <c r="B130" s="6"/>
      <c r="C130" s="7"/>
      <c r="D130" s="19"/>
      <c r="E130" s="19"/>
      <c r="F130" s="19"/>
      <c r="G130" s="19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outlineLevel="1" x14ac:dyDescent="0.25">
      <c r="A131" s="25" t="s">
        <v>204</v>
      </c>
      <c r="B131" s="6"/>
      <c r="C131" s="7"/>
      <c r="D131" s="19"/>
      <c r="E131" s="19"/>
      <c r="F131" s="19"/>
      <c r="G131" s="19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outlineLevel="1" x14ac:dyDescent="0.25">
      <c r="A132" s="6" t="s">
        <v>98</v>
      </c>
      <c r="B132" s="6"/>
      <c r="C132" s="7"/>
      <c r="D132" s="6">
        <f t="shared" ref="D132:P132" si="67">D82</f>
        <v>2856.3788082437277</v>
      </c>
      <c r="E132" s="6">
        <f t="shared" si="67"/>
        <v>3306.619623655914</v>
      </c>
      <c r="F132" s="6">
        <f t="shared" si="67"/>
        <v>3677.8953853046592</v>
      </c>
      <c r="G132" s="6">
        <f t="shared" si="67"/>
        <v>3985.80309139785</v>
      </c>
      <c r="H132" s="6">
        <f t="shared" si="67"/>
        <v>4221.8862007168455</v>
      </c>
      <c r="I132" s="6">
        <f t="shared" si="67"/>
        <v>5852.8066234595181</v>
      </c>
      <c r="J132" s="6">
        <f t="shared" si="67"/>
        <v>5506.9589593460005</v>
      </c>
      <c r="K132" s="6">
        <f t="shared" si="67"/>
        <v>6167.7940344675217</v>
      </c>
      <c r="L132" s="6">
        <f t="shared" si="67"/>
        <v>6766.0363520183337</v>
      </c>
      <c r="M132" s="6">
        <f t="shared" si="67"/>
        <v>7327.3393129474161</v>
      </c>
      <c r="N132" s="6">
        <f t="shared" si="67"/>
        <v>7766.9796717242616</v>
      </c>
      <c r="O132" s="6">
        <f t="shared" si="67"/>
        <v>344.22726676808315</v>
      </c>
      <c r="P132" s="6">
        <f t="shared" si="67"/>
        <v>5852.8066234595181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outlineLevel="1" x14ac:dyDescent="0.25">
      <c r="A133" s="6" t="s">
        <v>99</v>
      </c>
      <c r="B133" s="6"/>
      <c r="C133" s="7"/>
      <c r="D133" s="6">
        <f t="shared" ref="D133:P133" si="68">D83</f>
        <v>4370.8557347670248</v>
      </c>
      <c r="E133" s="6">
        <f t="shared" si="68"/>
        <v>5376.7921146953413</v>
      </c>
      <c r="F133" s="6">
        <f t="shared" si="68"/>
        <v>5502.1281362007167</v>
      </c>
      <c r="G133" s="6">
        <f t="shared" si="68"/>
        <v>5897.6254480286743</v>
      </c>
      <c r="H133" s="6">
        <f t="shared" si="68"/>
        <v>6351.9265232974894</v>
      </c>
      <c r="I133" s="6">
        <f t="shared" si="68"/>
        <v>8380.1549381352179</v>
      </c>
      <c r="J133" s="6">
        <f t="shared" si="68"/>
        <v>9407.7215555494167</v>
      </c>
      <c r="K133" s="6">
        <f t="shared" si="68"/>
        <v>10279.656724112536</v>
      </c>
      <c r="L133" s="6">
        <f t="shared" si="68"/>
        <v>11276.72725336389</v>
      </c>
      <c r="M133" s="6">
        <f t="shared" si="68"/>
        <v>12212.232188245694</v>
      </c>
      <c r="N133" s="6">
        <f t="shared" si="68"/>
        <v>12944.966119540437</v>
      </c>
      <c r="O133" s="6">
        <f t="shared" si="68"/>
        <v>492.87085923611897</v>
      </c>
      <c r="P133" s="6">
        <f t="shared" si="68"/>
        <v>8380.1549381352179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outlineLevel="1" x14ac:dyDescent="0.25">
      <c r="A134" s="6" t="s">
        <v>106</v>
      </c>
      <c r="B134" s="6"/>
      <c r="C134" s="7"/>
      <c r="D134" s="6">
        <f t="shared" ref="D134:P134" si="69">D91</f>
        <v>2185.4278673835124</v>
      </c>
      <c r="E134" s="6">
        <f t="shared" si="69"/>
        <v>2688.3960573476702</v>
      </c>
      <c r="F134" s="6">
        <f t="shared" si="69"/>
        <v>2751.0640681003583</v>
      </c>
      <c r="G134" s="6">
        <f t="shared" si="69"/>
        <v>2948.8127240143372</v>
      </c>
      <c r="H134" s="19">
        <f t="shared" si="69"/>
        <v>3175.9632616487452</v>
      </c>
      <c r="I134" s="6">
        <f t="shared" si="69"/>
        <v>4357.6805678303126</v>
      </c>
      <c r="J134" s="6">
        <f t="shared" si="69"/>
        <v>4892.0152088856967</v>
      </c>
      <c r="K134" s="6">
        <f t="shared" si="69"/>
        <v>5345.421496538519</v>
      </c>
      <c r="L134" s="6">
        <f t="shared" si="69"/>
        <v>5863.8981717492234</v>
      </c>
      <c r="M134" s="6">
        <f t="shared" si="69"/>
        <v>6350.3607378877614</v>
      </c>
      <c r="N134" s="6">
        <f t="shared" si="69"/>
        <v>6731.3823821610276</v>
      </c>
      <c r="O134" s="6">
        <f t="shared" si="69"/>
        <v>256.29284680278187</v>
      </c>
      <c r="P134" s="6">
        <f t="shared" si="69"/>
        <v>4357.6805678303126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outlineLevel="1" x14ac:dyDescent="0.25">
      <c r="A135" s="26" t="s">
        <v>205</v>
      </c>
      <c r="B135" s="26"/>
      <c r="C135" s="45"/>
      <c r="D135" s="26">
        <f t="shared" ref="D135:P135" si="70">D132+D133-D134</f>
        <v>5041.8066756272401</v>
      </c>
      <c r="E135" s="26">
        <f t="shared" si="70"/>
        <v>5995.0156810035842</v>
      </c>
      <c r="F135" s="26">
        <f t="shared" si="70"/>
        <v>6428.9594534050175</v>
      </c>
      <c r="G135" s="26">
        <f t="shared" si="70"/>
        <v>6934.6158154121877</v>
      </c>
      <c r="H135" s="26">
        <f t="shared" si="70"/>
        <v>7397.8494623655897</v>
      </c>
      <c r="I135" s="26">
        <f t="shared" si="70"/>
        <v>9875.2809937644233</v>
      </c>
      <c r="J135" s="26">
        <f t="shared" si="70"/>
        <v>10022.66530600972</v>
      </c>
      <c r="K135" s="26">
        <f t="shared" si="70"/>
        <v>11102.029262041538</v>
      </c>
      <c r="L135" s="26">
        <f t="shared" si="70"/>
        <v>12178.865433633</v>
      </c>
      <c r="M135" s="26">
        <f t="shared" si="70"/>
        <v>13189.210763305349</v>
      </c>
      <c r="N135" s="26">
        <f t="shared" si="70"/>
        <v>13980.56340910367</v>
      </c>
      <c r="O135" s="26">
        <f t="shared" si="70"/>
        <v>580.80527920142026</v>
      </c>
      <c r="P135" s="26">
        <f t="shared" si="70"/>
        <v>9875.2809937644233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outlineLevel="1" x14ac:dyDescent="0.25">
      <c r="A136" s="6" t="s">
        <v>206</v>
      </c>
      <c r="B136" s="6"/>
      <c r="C136" s="7"/>
      <c r="D136" s="6">
        <f t="shared" ref="D136:N136" si="71">D135-C135</f>
        <v>5041.8066756272401</v>
      </c>
      <c r="E136" s="6">
        <f t="shared" si="71"/>
        <v>953.20900537634407</v>
      </c>
      <c r="F136" s="6">
        <f t="shared" si="71"/>
        <v>433.94377240143331</v>
      </c>
      <c r="G136" s="6">
        <f t="shared" si="71"/>
        <v>505.65636200717017</v>
      </c>
      <c r="H136" s="6">
        <f t="shared" si="71"/>
        <v>463.23364695340206</v>
      </c>
      <c r="I136" s="6">
        <f t="shared" si="71"/>
        <v>2477.4315313988336</v>
      </c>
      <c r="J136" s="6">
        <f t="shared" si="71"/>
        <v>147.38431224529631</v>
      </c>
      <c r="K136" s="6">
        <f t="shared" si="71"/>
        <v>1079.3639560318188</v>
      </c>
      <c r="L136" s="6">
        <f t="shared" si="71"/>
        <v>1076.8361715914616</v>
      </c>
      <c r="M136" s="6">
        <f t="shared" si="71"/>
        <v>1010.3453296723492</v>
      </c>
      <c r="N136" s="6">
        <f t="shared" si="71"/>
        <v>791.35264579832074</v>
      </c>
      <c r="O136" s="6">
        <f>+O135-H135</f>
        <v>-6817.0441831641692</v>
      </c>
      <c r="P136" s="6">
        <f>+P135-O135</f>
        <v>9294.4757145630028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outlineLevel="1" x14ac:dyDescent="0.25">
      <c r="A137" s="6"/>
      <c r="B137" s="6"/>
      <c r="C137" s="7"/>
      <c r="D137" s="19"/>
      <c r="E137" s="19"/>
      <c r="F137" s="19"/>
      <c r="G137" s="19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outlineLevel="1" x14ac:dyDescent="0.25">
      <c r="A138" s="25" t="s">
        <v>207</v>
      </c>
      <c r="B138" s="6"/>
      <c r="C138" s="7"/>
      <c r="D138" s="19"/>
      <c r="E138" s="19"/>
      <c r="F138" s="19"/>
      <c r="G138" s="19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outlineLevel="1" x14ac:dyDescent="0.25">
      <c r="A139" s="6" t="s">
        <v>208</v>
      </c>
      <c r="B139" s="6"/>
      <c r="C139" s="7"/>
      <c r="D139" s="19">
        <f>'[2]Target statements'!$C$53</f>
        <v>28004.792114695301</v>
      </c>
      <c r="E139" s="19">
        <f>'[1]Target statements'!$D$53</f>
        <v>25481.630824372758</v>
      </c>
      <c r="F139" s="19">
        <f>'[1]Target statements'!$E$53</f>
        <v>23717.517921146951</v>
      </c>
      <c r="G139" s="19">
        <f>'[1]Target statements'!$F$53</f>
        <v>22482.638888888887</v>
      </c>
      <c r="H139" s="19">
        <f>'[1]Target statements'!$G$53</f>
        <v>21618.223566308243</v>
      </c>
      <c r="I139" s="6">
        <f t="shared" ref="I139:N139" si="72">H142</f>
        <v>21013.132840501792</v>
      </c>
      <c r="J139" s="6">
        <f t="shared" si="72"/>
        <v>22560.506272401435</v>
      </c>
      <c r="K139" s="6">
        <f t="shared" si="72"/>
        <v>23798.405017921148</v>
      </c>
      <c r="L139" s="6">
        <f t="shared" si="72"/>
        <v>24788.72401433692</v>
      </c>
      <c r="M139" s="6">
        <f t="shared" si="72"/>
        <v>25580.979211469537</v>
      </c>
      <c r="N139" s="6">
        <f t="shared" si="72"/>
        <v>26214.783369175631</v>
      </c>
      <c r="O139" s="6">
        <f>+H142</f>
        <v>21013.132840501792</v>
      </c>
      <c r="P139" s="6">
        <f>+O142</f>
        <v>21786.819556451614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outlineLevel="1" x14ac:dyDescent="0.25">
      <c r="A140" s="6" t="s">
        <v>209</v>
      </c>
      <c r="B140" s="6"/>
      <c r="C140" s="7"/>
      <c r="D140" s="19">
        <f>'[1]Target statements'!$C$54</f>
        <v>8400.5376344086017</v>
      </c>
      <c r="E140" s="19">
        <f>'[1]Target statements'!$D$54</f>
        <v>8400.5376344086017</v>
      </c>
      <c r="F140" s="19">
        <f>'[1]Target statements'!$D$54</f>
        <v>8400.5376344086017</v>
      </c>
      <c r="G140" s="19">
        <f>'[1]Target statements'!$D$54</f>
        <v>8400.5376344086017</v>
      </c>
      <c r="H140" s="19">
        <f>'[1]Target statements'!$D$54</f>
        <v>8400.5376344086017</v>
      </c>
      <c r="I140" s="6">
        <f t="shared" ref="I140:N140" si="73">I55</f>
        <v>5750</v>
      </c>
      <c r="J140" s="6">
        <f t="shared" si="73"/>
        <v>5750</v>
      </c>
      <c r="K140" s="6">
        <f t="shared" si="73"/>
        <v>5750</v>
      </c>
      <c r="L140" s="6">
        <f t="shared" si="73"/>
        <v>5750</v>
      </c>
      <c r="M140" s="6">
        <f t="shared" si="73"/>
        <v>5750</v>
      </c>
      <c r="N140" s="6">
        <f t="shared" si="73"/>
        <v>5750</v>
      </c>
      <c r="O140" s="6">
        <f t="shared" ref="O140:P140" si="74">+$I140*O$6</f>
        <v>2875</v>
      </c>
      <c r="P140" s="6">
        <f t="shared" si="74"/>
        <v>2875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outlineLevel="1" x14ac:dyDescent="0.25">
      <c r="A141" s="6" t="s">
        <v>210</v>
      </c>
      <c r="B141" s="6"/>
      <c r="C141" s="126"/>
      <c r="D141" s="19">
        <f>D108</f>
        <v>10920.698924731183</v>
      </c>
      <c r="E141" s="19">
        <f>E108</f>
        <v>10164.650537634408</v>
      </c>
      <c r="F141" s="19">
        <f>F108</f>
        <v>9635.4166666666661</v>
      </c>
      <c r="G141" s="19">
        <f>G108</f>
        <v>9264.9529569892475</v>
      </c>
      <c r="H141" s="19">
        <f>H108</f>
        <v>9005.6283602150525</v>
      </c>
      <c r="I141" s="124">
        <f t="shared" ref="I141:N141" si="75">I139*I49</f>
        <v>4202.6265681003588</v>
      </c>
      <c r="J141" s="124">
        <f t="shared" si="75"/>
        <v>4512.101254480287</v>
      </c>
      <c r="K141" s="124">
        <f t="shared" si="75"/>
        <v>4759.68100358423</v>
      </c>
      <c r="L141" s="124">
        <f t="shared" si="75"/>
        <v>4957.7448028673844</v>
      </c>
      <c r="M141" s="124">
        <f t="shared" si="75"/>
        <v>5116.1958422939078</v>
      </c>
      <c r="N141" s="124">
        <f t="shared" si="75"/>
        <v>5242.9566738351268</v>
      </c>
      <c r="O141" s="6">
        <f t="shared" ref="O141:P141" si="76">+$I141*O$6</f>
        <v>2101.3132840501794</v>
      </c>
      <c r="P141" s="6">
        <f t="shared" si="76"/>
        <v>2101.3132840501794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outlineLevel="1" x14ac:dyDescent="0.25">
      <c r="A142" s="26" t="s">
        <v>211</v>
      </c>
      <c r="B142" s="26"/>
      <c r="C142" s="45"/>
      <c r="D142" s="26">
        <f t="shared" ref="D142:P142" si="77">D139+D140-D141</f>
        <v>25484.630824372722</v>
      </c>
      <c r="E142" s="26">
        <f t="shared" si="77"/>
        <v>23717.517921146951</v>
      </c>
      <c r="F142" s="26">
        <f t="shared" si="77"/>
        <v>22482.638888888891</v>
      </c>
      <c r="G142" s="26">
        <f t="shared" si="77"/>
        <v>21618.223566308239</v>
      </c>
      <c r="H142" s="26">
        <f t="shared" si="77"/>
        <v>21013.132840501792</v>
      </c>
      <c r="I142" s="26">
        <f t="shared" si="77"/>
        <v>22560.506272401435</v>
      </c>
      <c r="J142" s="26">
        <f t="shared" si="77"/>
        <v>23798.405017921148</v>
      </c>
      <c r="K142" s="26">
        <f t="shared" si="77"/>
        <v>24788.72401433692</v>
      </c>
      <c r="L142" s="26">
        <f t="shared" si="77"/>
        <v>25580.979211469537</v>
      </c>
      <c r="M142" s="26">
        <f t="shared" si="77"/>
        <v>26214.783369175631</v>
      </c>
      <c r="N142" s="26">
        <f t="shared" si="77"/>
        <v>26721.826695340504</v>
      </c>
      <c r="O142" s="26">
        <f t="shared" si="77"/>
        <v>21786.819556451614</v>
      </c>
      <c r="P142" s="26">
        <f t="shared" si="77"/>
        <v>22560.506272401435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outlineLevel="1" x14ac:dyDescent="0.25">
      <c r="A143" s="6"/>
      <c r="B143" s="6"/>
      <c r="C143" s="7"/>
      <c r="D143" s="19"/>
      <c r="E143" s="19"/>
      <c r="F143" s="19"/>
      <c r="G143" s="19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outlineLevel="1" x14ac:dyDescent="0.25">
      <c r="A144" s="25" t="s">
        <v>269</v>
      </c>
      <c r="B144" s="6"/>
      <c r="C144" s="7"/>
      <c r="D144" s="19"/>
      <c r="E144" s="19"/>
      <c r="F144" s="19"/>
      <c r="G144" s="19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outlineLevel="1" x14ac:dyDescent="0.25">
      <c r="A145" s="6" t="s">
        <v>270</v>
      </c>
      <c r="B145" s="6"/>
      <c r="C145" s="7"/>
      <c r="D145" s="19">
        <f>'[1]Target statements'!$C$57</f>
        <v>28001.792114695338</v>
      </c>
      <c r="E145" s="19">
        <f>'[1]Target statements'!$D$57</f>
        <v>28001.792114695338</v>
      </c>
      <c r="F145" s="19">
        <f>'[1]Target statements'!$E$57</f>
        <v>28001.792114695338</v>
      </c>
      <c r="G145" s="19">
        <f>'[1]Target statements'!$F$57</f>
        <v>16801.075268817203</v>
      </c>
      <c r="H145" s="19">
        <f>'[1]Target statements'!$G$57</f>
        <v>16801.075268817203</v>
      </c>
      <c r="I145" s="6">
        <f>H147</f>
        <v>16801.075268817203</v>
      </c>
      <c r="J145" s="6">
        <f t="shared" ref="J145:N145" si="78">I147</f>
        <v>16801.075268817203</v>
      </c>
      <c r="K145" s="6">
        <f t="shared" si="78"/>
        <v>16801.075268817203</v>
      </c>
      <c r="L145" s="6">
        <f t="shared" si="78"/>
        <v>16801.075268817203</v>
      </c>
      <c r="M145" s="6">
        <f t="shared" si="78"/>
        <v>16801.075268817203</v>
      </c>
      <c r="N145" s="6">
        <f t="shared" si="78"/>
        <v>16801.075268817203</v>
      </c>
      <c r="O145" s="6">
        <f>+H147</f>
        <v>16801.075268817203</v>
      </c>
      <c r="P145" s="6">
        <f>+O147</f>
        <v>16801.075268817203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outlineLevel="1" x14ac:dyDescent="0.25">
      <c r="A146" s="6" t="s">
        <v>271</v>
      </c>
      <c r="B146" s="6"/>
      <c r="C146" s="7"/>
      <c r="D146" s="19"/>
      <c r="E146" s="19"/>
      <c r="F146" s="19">
        <f>'[2]Target statements'!$E$46</f>
        <v>-11199</v>
      </c>
      <c r="G146" s="19"/>
      <c r="H146" s="19"/>
      <c r="I146" s="6">
        <f t="shared" ref="I146:N146" si="79">I56</f>
        <v>0</v>
      </c>
      <c r="J146" s="6">
        <f t="shared" si="79"/>
        <v>0</v>
      </c>
      <c r="K146" s="6">
        <f t="shared" si="79"/>
        <v>0</v>
      </c>
      <c r="L146" s="6">
        <f t="shared" si="79"/>
        <v>0</v>
      </c>
      <c r="M146" s="6">
        <f t="shared" si="79"/>
        <v>0</v>
      </c>
      <c r="N146" s="6">
        <f t="shared" si="79"/>
        <v>-10000</v>
      </c>
      <c r="O146" s="6">
        <f t="shared" ref="O146:P146" si="80">+$I146*O$6</f>
        <v>0</v>
      </c>
      <c r="P146" s="6">
        <f t="shared" si="80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outlineLevel="1" x14ac:dyDescent="0.25">
      <c r="A147" s="26" t="s">
        <v>272</v>
      </c>
      <c r="B147" s="26"/>
      <c r="C147" s="45"/>
      <c r="D147" s="26">
        <f t="shared" ref="D147:P147" si="81">SUM(D145:D146)</f>
        <v>28001.792114695338</v>
      </c>
      <c r="E147" s="26">
        <f t="shared" si="81"/>
        <v>28001.792114695338</v>
      </c>
      <c r="F147" s="26">
        <f t="shared" si="81"/>
        <v>16802.792114695338</v>
      </c>
      <c r="G147" s="26">
        <f t="shared" si="81"/>
        <v>16801.075268817203</v>
      </c>
      <c r="H147" s="26">
        <f t="shared" si="81"/>
        <v>16801.075268817203</v>
      </c>
      <c r="I147" s="26">
        <f t="shared" si="81"/>
        <v>16801.075268817203</v>
      </c>
      <c r="J147" s="26">
        <f t="shared" si="81"/>
        <v>16801.075268817203</v>
      </c>
      <c r="K147" s="26">
        <f t="shared" si="81"/>
        <v>16801.075268817203</v>
      </c>
      <c r="L147" s="26">
        <f t="shared" si="81"/>
        <v>16801.075268817203</v>
      </c>
      <c r="M147" s="26">
        <f t="shared" si="81"/>
        <v>16801.075268817203</v>
      </c>
      <c r="N147" s="26">
        <f t="shared" si="81"/>
        <v>6801.0752688172033</v>
      </c>
      <c r="O147" s="26">
        <f t="shared" si="81"/>
        <v>16801.075268817203</v>
      </c>
      <c r="P147" s="26">
        <f t="shared" si="81"/>
        <v>16801.075268817203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outlineLevel="1" x14ac:dyDescent="0.25">
      <c r="A148" s="6" t="s">
        <v>273</v>
      </c>
      <c r="B148" s="6"/>
      <c r="C148" s="126"/>
      <c r="D148" s="19">
        <f t="shared" ref="D148:N148" si="82">D147*D50</f>
        <v>2240.143369175627</v>
      </c>
      <c r="E148" s="19">
        <f t="shared" si="82"/>
        <v>2240.143369175627</v>
      </c>
      <c r="F148" s="19">
        <f t="shared" si="82"/>
        <v>1344.2233691756271</v>
      </c>
      <c r="G148" s="19">
        <f t="shared" si="82"/>
        <v>1344.0860215053763</v>
      </c>
      <c r="H148" s="19">
        <f t="shared" si="82"/>
        <v>1344.0860215053763</v>
      </c>
      <c r="I148" s="6">
        <f t="shared" si="82"/>
        <v>1344.0860215053763</v>
      </c>
      <c r="J148" s="6">
        <f t="shared" si="82"/>
        <v>1344.0860215053763</v>
      </c>
      <c r="K148" s="6">
        <f t="shared" si="82"/>
        <v>1344.0860215053763</v>
      </c>
      <c r="L148" s="6">
        <f t="shared" si="82"/>
        <v>1344.0860215053763</v>
      </c>
      <c r="M148" s="6">
        <f t="shared" si="82"/>
        <v>1344.0860215053763</v>
      </c>
      <c r="N148" s="6">
        <f t="shared" si="82"/>
        <v>544.08602150537627</v>
      </c>
      <c r="O148" s="6">
        <f t="shared" ref="O148:P148" si="83">+I148*O6</f>
        <v>672.04301075268813</v>
      </c>
      <c r="P148" s="6">
        <f t="shared" si="83"/>
        <v>672.04301075268813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outlineLevel="1" x14ac:dyDescent="0.25">
      <c r="A149" s="6"/>
      <c r="B149" s="6"/>
      <c r="C149" s="7"/>
      <c r="D149" s="19"/>
      <c r="E149" s="19"/>
      <c r="F149" s="19"/>
      <c r="G149" s="19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outlineLevel="1" x14ac:dyDescent="0.25">
      <c r="A150" s="6"/>
      <c r="B150" s="6"/>
      <c r="C150" s="7"/>
      <c r="D150" s="19"/>
      <c r="E150" s="19"/>
      <c r="F150" s="19"/>
      <c r="G150" s="19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x14ac:dyDescent="0.25">
      <c r="A151" s="6"/>
      <c r="B151" s="6"/>
      <c r="C151" s="7"/>
      <c r="D151" s="19"/>
      <c r="E151" s="19"/>
      <c r="F151" s="19"/>
      <c r="G151" s="19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1" x14ac:dyDescent="0.35">
      <c r="A152" s="9" t="s">
        <v>138</v>
      </c>
      <c r="B152" s="10"/>
      <c r="C152" s="11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outlineLevel="1" x14ac:dyDescent="0.25">
      <c r="A153" s="25"/>
      <c r="B153" s="6"/>
      <c r="C153" s="7"/>
      <c r="D153" s="19"/>
      <c r="E153" s="19"/>
      <c r="F153" s="19"/>
      <c r="G153" s="19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outlineLevel="1" x14ac:dyDescent="0.25">
      <c r="A154" s="25" t="s">
        <v>0</v>
      </c>
      <c r="B154" s="19"/>
      <c r="C154" s="19"/>
      <c r="D154" s="1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outlineLevel="1" x14ac:dyDescent="0.25">
      <c r="A155" s="26" t="s">
        <v>223</v>
      </c>
      <c r="B155" s="28"/>
      <c r="C155" s="138">
        <v>0.25</v>
      </c>
      <c r="D155" s="1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outlineLevel="1" x14ac:dyDescent="0.25">
      <c r="A156" s="6" t="s">
        <v>224</v>
      </c>
      <c r="B156" s="6"/>
      <c r="C156" s="87">
        <v>0.12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outlineLevel="1" x14ac:dyDescent="0.25">
      <c r="A157" s="6" t="s">
        <v>225</v>
      </c>
      <c r="B157" s="6"/>
      <c r="C157" s="87">
        <f>'[1]DCF Assumptions'!$C$6</f>
        <v>0.04</v>
      </c>
      <c r="D157" s="6"/>
      <c r="E157" s="6"/>
      <c r="F157" s="6"/>
      <c r="G157" s="6"/>
      <c r="H157" s="6"/>
      <c r="I157" s="6"/>
      <c r="J157" s="126"/>
      <c r="K157" s="126"/>
      <c r="L157" s="126"/>
      <c r="M157" s="126"/>
      <c r="N157" s="1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outlineLevel="1" x14ac:dyDescent="0.25">
      <c r="A158" s="6" t="s">
        <v>226</v>
      </c>
      <c r="B158" s="6"/>
      <c r="C158" s="139">
        <f>'[1]DCF Assumptions'!$C$7</f>
        <v>8</v>
      </c>
      <c r="D158" s="6"/>
      <c r="E158" s="6"/>
      <c r="F158" s="6"/>
      <c r="G158" s="6"/>
      <c r="H158" s="6"/>
      <c r="I158" s="6"/>
      <c r="J158" s="126"/>
      <c r="K158" s="126"/>
      <c r="L158" s="126"/>
      <c r="M158" s="126"/>
      <c r="N158" s="1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outlineLevel="1" x14ac:dyDescent="0.25">
      <c r="A159" s="6" t="s">
        <v>227</v>
      </c>
      <c r="B159" s="6"/>
      <c r="C159" s="140">
        <f>'[2]M&amp;A Assumptions'!$C$6</f>
        <v>17.3</v>
      </c>
      <c r="D159" s="6"/>
      <c r="E159" s="6"/>
      <c r="F159" s="6"/>
      <c r="G159" s="6"/>
      <c r="H159" s="6"/>
      <c r="I159" s="6"/>
      <c r="J159" s="126"/>
      <c r="K159" s="126"/>
      <c r="L159" s="126"/>
      <c r="M159" s="126"/>
      <c r="N159" s="1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outlineLevel="1" x14ac:dyDescent="0.25">
      <c r="A160" s="6" t="s">
        <v>148</v>
      </c>
      <c r="B160" s="6"/>
      <c r="C160" s="141">
        <f>'[2]M&amp;A Assumptions'!$C$17</f>
        <v>25000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outlineLevel="1" x14ac:dyDescent="0.25">
      <c r="A161" s="6"/>
      <c r="B161" s="6"/>
      <c r="C161" s="14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outlineLevel="1" x14ac:dyDescent="0.25">
      <c r="A162" s="6"/>
      <c r="B162" s="6"/>
      <c r="C162" s="2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outlineLevel="1" x14ac:dyDescent="0.25">
      <c r="A163" s="25" t="s">
        <v>228</v>
      </c>
      <c r="B163" s="6"/>
      <c r="C163" s="56" t="s">
        <v>229</v>
      </c>
      <c r="D163" s="143">
        <f>I2</f>
        <v>2025</v>
      </c>
      <c r="E163" s="144">
        <f t="shared" ref="E163:I163" si="84">+D163+1</f>
        <v>2026</v>
      </c>
      <c r="F163" s="144">
        <f t="shared" si="84"/>
        <v>2027</v>
      </c>
      <c r="G163" s="144">
        <f t="shared" si="84"/>
        <v>2028</v>
      </c>
      <c r="H163" s="144">
        <f t="shared" si="84"/>
        <v>2029</v>
      </c>
      <c r="I163" s="144">
        <f t="shared" si="84"/>
        <v>2030</v>
      </c>
      <c r="J163" s="56" t="s">
        <v>230</v>
      </c>
      <c r="K163" s="6"/>
      <c r="L163" s="25" t="s">
        <v>231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outlineLevel="1" x14ac:dyDescent="0.25">
      <c r="A164" s="145" t="s">
        <v>232</v>
      </c>
      <c r="B164" s="145"/>
      <c r="C164" s="146">
        <f>'M&amp;A Assumptions &amp; Analysis'!$D$10</f>
        <v>45838</v>
      </c>
      <c r="D164" s="147">
        <f t="shared" ref="D164:I164" si="85">DATE(D163,12,31)</f>
        <v>46022</v>
      </c>
      <c r="E164" s="147">
        <f t="shared" si="85"/>
        <v>46387</v>
      </c>
      <c r="F164" s="147">
        <f t="shared" si="85"/>
        <v>46752</v>
      </c>
      <c r="G164" s="147">
        <f t="shared" si="85"/>
        <v>47118</v>
      </c>
      <c r="H164" s="147">
        <f t="shared" si="85"/>
        <v>47483</v>
      </c>
      <c r="I164" s="147">
        <f t="shared" si="85"/>
        <v>47848</v>
      </c>
      <c r="J164" s="147">
        <f>I164</f>
        <v>47848</v>
      </c>
      <c r="K164" s="6"/>
      <c r="L164" s="26" t="s">
        <v>233</v>
      </c>
      <c r="M164" s="26"/>
      <c r="N164" s="148">
        <f>+H171*C158</f>
        <v>467009.19718193554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outlineLevel="1" x14ac:dyDescent="0.25">
      <c r="A165" s="50" t="s">
        <v>274</v>
      </c>
      <c r="B165" s="50"/>
      <c r="C165" s="50"/>
      <c r="D165" s="149">
        <f t="shared" ref="D165:I165" si="86">YEARFRAC(C164,D164)</f>
        <v>0.5</v>
      </c>
      <c r="E165" s="149">
        <f t="shared" si="86"/>
        <v>1</v>
      </c>
      <c r="F165" s="149">
        <f t="shared" si="86"/>
        <v>1</v>
      </c>
      <c r="G165" s="149">
        <f t="shared" si="86"/>
        <v>1</v>
      </c>
      <c r="H165" s="149">
        <f t="shared" si="86"/>
        <v>1</v>
      </c>
      <c r="I165" s="149">
        <f t="shared" si="86"/>
        <v>1</v>
      </c>
      <c r="J165" s="149">
        <f>H165</f>
        <v>1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outlineLevel="1" x14ac:dyDescent="0.25">
      <c r="A166" s="50"/>
      <c r="B166" s="50"/>
      <c r="C166" s="50"/>
      <c r="D166" s="149"/>
      <c r="E166" s="149"/>
      <c r="F166" s="149"/>
      <c r="G166" s="149"/>
      <c r="H166" s="149"/>
      <c r="I166" s="149"/>
      <c r="J166" s="7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outlineLevel="1" x14ac:dyDescent="0.25">
      <c r="A167" s="6" t="s">
        <v>234</v>
      </c>
      <c r="B167" s="6"/>
      <c r="C167" s="6"/>
      <c r="D167" s="6">
        <f t="shared" ref="D167:I167" si="87">I72+I70</f>
        <v>29580.794130824375</v>
      </c>
      <c r="E167" s="6">
        <f t="shared" si="87"/>
        <v>36505.521449372762</v>
      </c>
      <c r="F167" s="6">
        <f t="shared" si="87"/>
        <v>43270.747992831537</v>
      </c>
      <c r="G167" s="6">
        <f t="shared" si="87"/>
        <v>48575.727093189962</v>
      </c>
      <c r="H167" s="6">
        <f t="shared" si="87"/>
        <v>53259.953805448036</v>
      </c>
      <c r="I167" s="6">
        <f t="shared" si="87"/>
        <v>57055.761952771332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outlineLevel="1" x14ac:dyDescent="0.25">
      <c r="A168" s="6" t="s">
        <v>235</v>
      </c>
      <c r="B168" s="6"/>
      <c r="C168" s="6"/>
      <c r="D168" s="124">
        <f t="shared" ref="D168:I168" si="88">D167*$C$155</f>
        <v>7395.1985327060938</v>
      </c>
      <c r="E168" s="124">
        <f t="shared" si="88"/>
        <v>9126.3803623431904</v>
      </c>
      <c r="F168" s="124">
        <f t="shared" si="88"/>
        <v>10817.686998207884</v>
      </c>
      <c r="G168" s="124">
        <f t="shared" si="88"/>
        <v>12143.931773297491</v>
      </c>
      <c r="H168" s="124">
        <f t="shared" si="88"/>
        <v>13314.988451362009</v>
      </c>
      <c r="I168" s="124">
        <f t="shared" si="88"/>
        <v>14263.940488192833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outlineLevel="1" x14ac:dyDescent="0.25">
      <c r="A169" s="26" t="s">
        <v>236</v>
      </c>
      <c r="B169" s="26"/>
      <c r="C169" s="26"/>
      <c r="D169" s="148">
        <f t="shared" ref="D169:I169" si="89">D167-D168</f>
        <v>22185.595598118281</v>
      </c>
      <c r="E169" s="148">
        <f t="shared" si="89"/>
        <v>27379.141087029573</v>
      </c>
      <c r="F169" s="148">
        <f t="shared" si="89"/>
        <v>32453.060994623651</v>
      </c>
      <c r="G169" s="148">
        <f t="shared" si="89"/>
        <v>36431.795319892473</v>
      </c>
      <c r="H169" s="148">
        <f t="shared" si="89"/>
        <v>39944.965354086031</v>
      </c>
      <c r="I169" s="148">
        <f t="shared" si="89"/>
        <v>42791.821464578497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outlineLevel="1" x14ac:dyDescent="0.25">
      <c r="A170" s="6" t="s">
        <v>237</v>
      </c>
      <c r="B170" s="6"/>
      <c r="C170" s="6"/>
      <c r="D170" s="124">
        <f t="shared" ref="D170:I170" si="90">+I108</f>
        <v>4202.6265681003588</v>
      </c>
      <c r="E170" s="124">
        <f t="shared" si="90"/>
        <v>4512.101254480287</v>
      </c>
      <c r="F170" s="124">
        <f t="shared" si="90"/>
        <v>4759.68100358423</v>
      </c>
      <c r="G170" s="124">
        <f t="shared" si="90"/>
        <v>4957.7448028673844</v>
      </c>
      <c r="H170" s="124">
        <f t="shared" si="90"/>
        <v>5116.1958422939078</v>
      </c>
      <c r="I170" s="124">
        <f t="shared" si="90"/>
        <v>5242.9566738351268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outlineLevel="1" x14ac:dyDescent="0.25">
      <c r="A171" s="6" t="s">
        <v>238</v>
      </c>
      <c r="B171" s="6"/>
      <c r="C171" s="6"/>
      <c r="D171" s="124">
        <f t="shared" ref="D171:I171" si="91">D167+D170</f>
        <v>33783.420698924732</v>
      </c>
      <c r="E171" s="124">
        <f t="shared" si="91"/>
        <v>41017.622703853049</v>
      </c>
      <c r="F171" s="124">
        <f t="shared" si="91"/>
        <v>48030.428996415765</v>
      </c>
      <c r="G171" s="124">
        <f t="shared" si="91"/>
        <v>53533.471896057345</v>
      </c>
      <c r="H171" s="124">
        <f t="shared" si="91"/>
        <v>58376.149647741942</v>
      </c>
      <c r="I171" s="124">
        <f t="shared" si="91"/>
        <v>62298.71862660646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outlineLevel="1" x14ac:dyDescent="0.25">
      <c r="A172" s="6" t="s">
        <v>239</v>
      </c>
      <c r="B172" s="6"/>
      <c r="C172" s="6"/>
      <c r="D172" s="6">
        <f t="shared" ref="D172:I172" si="92">-I113</f>
        <v>5750</v>
      </c>
      <c r="E172" s="6">
        <f t="shared" si="92"/>
        <v>5750</v>
      </c>
      <c r="F172" s="6">
        <f t="shared" si="92"/>
        <v>5750</v>
      </c>
      <c r="G172" s="6">
        <f t="shared" si="92"/>
        <v>5750</v>
      </c>
      <c r="H172" s="6">
        <f t="shared" si="92"/>
        <v>5750</v>
      </c>
      <c r="I172" s="6">
        <f t="shared" si="92"/>
        <v>5750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outlineLevel="1" x14ac:dyDescent="0.25">
      <c r="A173" s="6" t="s">
        <v>240</v>
      </c>
      <c r="B173" s="6"/>
      <c r="C173" s="6"/>
      <c r="D173" s="6">
        <f t="shared" ref="D173:I173" si="93">I136</f>
        <v>2477.4315313988336</v>
      </c>
      <c r="E173" s="6">
        <f t="shared" si="93"/>
        <v>147.38431224529631</v>
      </c>
      <c r="F173" s="6">
        <f t="shared" si="93"/>
        <v>1079.3639560318188</v>
      </c>
      <c r="G173" s="6">
        <f t="shared" si="93"/>
        <v>1076.8361715914616</v>
      </c>
      <c r="H173" s="6">
        <f t="shared" si="93"/>
        <v>1010.3453296723492</v>
      </c>
      <c r="I173" s="6">
        <f t="shared" si="93"/>
        <v>791.35264579832074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outlineLevel="1" x14ac:dyDescent="0.25">
      <c r="A174" s="35" t="s">
        <v>241</v>
      </c>
      <c r="B174" s="35"/>
      <c r="C174" s="35"/>
      <c r="D174" s="35">
        <f t="shared" ref="D174:I174" si="94">D169+D170-D172-D173</f>
        <v>18160.790634819808</v>
      </c>
      <c r="E174" s="35">
        <f t="shared" si="94"/>
        <v>25993.858029264564</v>
      </c>
      <c r="F174" s="35">
        <f t="shared" si="94"/>
        <v>30383.37804217606</v>
      </c>
      <c r="G174" s="35">
        <f t="shared" si="94"/>
        <v>34562.703951168398</v>
      </c>
      <c r="H174" s="35">
        <f t="shared" si="94"/>
        <v>38300.815866707591</v>
      </c>
      <c r="I174" s="35">
        <f t="shared" si="94"/>
        <v>41493.425492615308</v>
      </c>
      <c r="J174" s="35">
        <f>N164</f>
        <v>467009.19718193554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outlineLevel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outlineLevel="1" x14ac:dyDescent="0.25">
      <c r="A176" s="25" t="s">
        <v>242</v>
      </c>
      <c r="B176" s="25"/>
      <c r="C176" s="25">
        <f>J178</f>
        <v>467009.19718193554</v>
      </c>
      <c r="D176" s="25">
        <f t="shared" ref="D176:J176" si="95">D174*D165</f>
        <v>9080.3953174099042</v>
      </c>
      <c r="E176" s="25">
        <f t="shared" si="95"/>
        <v>25993.858029264564</v>
      </c>
      <c r="F176" s="25">
        <f t="shared" si="95"/>
        <v>30383.37804217606</v>
      </c>
      <c r="G176" s="25">
        <f t="shared" si="95"/>
        <v>34562.703951168398</v>
      </c>
      <c r="H176" s="25">
        <f t="shared" si="95"/>
        <v>38300.815866707591</v>
      </c>
      <c r="I176" s="25">
        <f t="shared" si="95"/>
        <v>41493.425492615308</v>
      </c>
      <c r="J176" s="25">
        <f t="shared" si="95"/>
        <v>467009.19718193554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outlineLevel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outlineLevel="1" x14ac:dyDescent="0.25">
      <c r="A178" s="25" t="s">
        <v>243</v>
      </c>
      <c r="B178" s="25"/>
      <c r="C178" s="25">
        <f>-G184</f>
        <v>-371768.73854304879</v>
      </c>
      <c r="D178" s="25">
        <f t="shared" ref="D178:J178" si="96">D176</f>
        <v>9080.3953174099042</v>
      </c>
      <c r="E178" s="25">
        <f t="shared" si="96"/>
        <v>25993.858029264564</v>
      </c>
      <c r="F178" s="25">
        <f t="shared" si="96"/>
        <v>30383.37804217606</v>
      </c>
      <c r="G178" s="25">
        <f t="shared" si="96"/>
        <v>34562.703951168398</v>
      </c>
      <c r="H178" s="25">
        <f t="shared" si="96"/>
        <v>38300.815866707591</v>
      </c>
      <c r="I178" s="25">
        <f t="shared" si="96"/>
        <v>41493.425492615308</v>
      </c>
      <c r="J178" s="25">
        <f t="shared" si="96"/>
        <v>467009.19718193554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outlineLevel="1" x14ac:dyDescent="0.25">
      <c r="A179" s="6"/>
      <c r="B179" s="7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outlineLevel="1" x14ac:dyDescent="0.25">
      <c r="A180" s="25" t="s">
        <v>244</v>
      </c>
      <c r="B180" s="6"/>
      <c r="C180" s="6"/>
      <c r="D180" s="6"/>
      <c r="E180" s="25" t="s">
        <v>245</v>
      </c>
      <c r="F180" s="6"/>
      <c r="G180" s="23" t="s">
        <v>245</v>
      </c>
      <c r="H180" s="23" t="s">
        <v>275</v>
      </c>
      <c r="I180" s="6"/>
      <c r="J180" s="25" t="s">
        <v>246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outlineLevel="1" x14ac:dyDescent="0.25">
      <c r="A181" s="26" t="s">
        <v>63</v>
      </c>
      <c r="B181" s="26"/>
      <c r="C181" s="26">
        <f>XNPV(C156,C176:J176,C164:J164)</f>
        <v>839023.02030633437</v>
      </c>
      <c r="D181" s="6"/>
      <c r="E181" s="26" t="s">
        <v>247</v>
      </c>
      <c r="F181" s="26"/>
      <c r="G181" s="26">
        <f>C159*C160</f>
        <v>432500</v>
      </c>
      <c r="H181" s="26">
        <f ca="1">C160*'M&amp;A Assumptions &amp; Analysis'!D34</f>
        <v>497375</v>
      </c>
      <c r="I181" s="6"/>
      <c r="J181" s="26" t="s">
        <v>276</v>
      </c>
      <c r="K181" s="26"/>
      <c r="L181" s="82">
        <f>XIRR(C178:J178,C164:J164)</f>
        <v>0.12015429139137268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outlineLevel="1" x14ac:dyDescent="0.25">
      <c r="A182" s="6" t="s">
        <v>249</v>
      </c>
      <c r="B182" s="6"/>
      <c r="C182" s="6">
        <f>+O81</f>
        <v>77532.336725768415</v>
      </c>
      <c r="D182" s="6"/>
      <c r="E182" s="6" t="s">
        <v>250</v>
      </c>
      <c r="F182" s="6"/>
      <c r="G182" s="6">
        <f>O93+O90</f>
        <v>16801.075268817203</v>
      </c>
      <c r="H182" s="6">
        <f t="shared" ref="H182:H183" si="97">G182</f>
        <v>16801.075268817203</v>
      </c>
      <c r="I182" s="6"/>
      <c r="J182" s="6"/>
      <c r="K182" s="6"/>
      <c r="L182" s="6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outlineLevel="1" x14ac:dyDescent="0.25">
      <c r="A183" s="6" t="s">
        <v>251</v>
      </c>
      <c r="B183" s="6"/>
      <c r="C183" s="6">
        <f>O93</f>
        <v>16801.075268817203</v>
      </c>
      <c r="D183" s="6"/>
      <c r="E183" s="6" t="s">
        <v>252</v>
      </c>
      <c r="F183" s="6"/>
      <c r="G183" s="6">
        <f>O81</f>
        <v>77532.336725768415</v>
      </c>
      <c r="H183" s="6">
        <f t="shared" si="97"/>
        <v>77532.336725768415</v>
      </c>
      <c r="I183" s="6"/>
      <c r="J183" s="6"/>
      <c r="K183" s="6"/>
      <c r="L183" s="7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outlineLevel="1" x14ac:dyDescent="0.25">
      <c r="A184" s="6" t="s">
        <v>253</v>
      </c>
      <c r="B184" s="6"/>
      <c r="C184" s="26">
        <f>C181+C182-C183</f>
        <v>899754.28176328551</v>
      </c>
      <c r="D184" s="6"/>
      <c r="E184" s="6" t="s">
        <v>63</v>
      </c>
      <c r="F184" s="6"/>
      <c r="G184" s="26">
        <f t="shared" ref="G184:H184" si="98">G181+G182-G183</f>
        <v>371768.73854304879</v>
      </c>
      <c r="H184" s="26">
        <f t="shared" ca="1" si="98"/>
        <v>436643.73854304879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outlineLevel="1" x14ac:dyDescent="0.25">
      <c r="A185" s="6"/>
      <c r="B185" s="6"/>
      <c r="C185" s="6"/>
      <c r="D185" s="6"/>
      <c r="E185" s="6"/>
      <c r="F185" s="6"/>
      <c r="G185" s="72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outlineLevel="1" x14ac:dyDescent="0.25">
      <c r="A186" s="25" t="s">
        <v>149</v>
      </c>
      <c r="B186" s="6"/>
      <c r="C186" s="150">
        <f>C184/C160</f>
        <v>35.99017127053142</v>
      </c>
      <c r="D186" s="6"/>
      <c r="E186" s="25" t="s">
        <v>149</v>
      </c>
      <c r="F186" s="25"/>
      <c r="G186" s="151">
        <f>C159</f>
        <v>17.3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outlineLevel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outlineLevel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x14ac:dyDescent="0.25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x14ac:dyDescent="0.25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x14ac:dyDescent="0.25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x14ac:dyDescent="0.25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x14ac:dyDescent="0.25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x14ac:dyDescent="0.25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x14ac:dyDescent="0.25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x14ac:dyDescent="0.25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x14ac:dyDescent="0.25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x14ac:dyDescent="0.25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x14ac:dyDescent="0.25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x14ac:dyDescent="0.25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x14ac:dyDescent="0.25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x14ac:dyDescent="0.25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x14ac:dyDescent="0.25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x14ac:dyDescent="0.25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x14ac:dyDescent="0.25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x14ac:dyDescent="0.25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x14ac:dyDescent="0.25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x14ac:dyDescent="0.25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x14ac:dyDescent="0.25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x14ac:dyDescent="0.25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x14ac:dyDescent="0.25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x14ac:dyDescent="0.25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x14ac:dyDescent="0.25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x14ac:dyDescent="0.25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x14ac:dyDescent="0.25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x14ac:dyDescent="0.25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x14ac:dyDescent="0.25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x14ac:dyDescent="0.25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x14ac:dyDescent="0.25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x14ac:dyDescent="0.25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x14ac:dyDescent="0.25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x14ac:dyDescent="0.25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x14ac:dyDescent="0.25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x14ac:dyDescent="0.25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x14ac:dyDescent="0.25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x14ac:dyDescent="0.25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x14ac:dyDescent="0.25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x14ac:dyDescent="0.25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x14ac:dyDescent="0.25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x14ac:dyDescent="0.25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x14ac:dyDescent="0.25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x14ac:dyDescent="0.25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x14ac:dyDescent="0.25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x14ac:dyDescent="0.25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x14ac:dyDescent="0.25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x14ac:dyDescent="0.25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x14ac:dyDescent="0.25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x14ac:dyDescent="0.25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x14ac:dyDescent="0.25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x14ac:dyDescent="0.25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x14ac:dyDescent="0.25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x14ac:dyDescent="0.25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x14ac:dyDescent="0.25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x14ac:dyDescent="0.25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x14ac:dyDescent="0.25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x14ac:dyDescent="0.25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x14ac:dyDescent="0.25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x14ac:dyDescent="0.25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x14ac:dyDescent="0.25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x14ac:dyDescent="0.25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x14ac:dyDescent="0.25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x14ac:dyDescent="0.25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x14ac:dyDescent="0.25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x14ac:dyDescent="0.25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x14ac:dyDescent="0.25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x14ac:dyDescent="0.25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x14ac:dyDescent="0.25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x14ac:dyDescent="0.25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x14ac:dyDescent="0.25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x14ac:dyDescent="0.25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x14ac:dyDescent="0.25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x14ac:dyDescent="0.25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x14ac:dyDescent="0.25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x14ac:dyDescent="0.25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x14ac:dyDescent="0.25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x14ac:dyDescent="0.25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x14ac:dyDescent="0.25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x14ac:dyDescent="0.25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x14ac:dyDescent="0.25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x14ac:dyDescent="0.25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x14ac:dyDescent="0.25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x14ac:dyDescent="0.25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x14ac:dyDescent="0.25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x14ac:dyDescent="0.25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x14ac:dyDescent="0.25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x14ac:dyDescent="0.25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x14ac:dyDescent="0.25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x14ac:dyDescent="0.25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x14ac:dyDescent="0.25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x14ac:dyDescent="0.25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x14ac:dyDescent="0.25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x14ac:dyDescent="0.25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x14ac:dyDescent="0.25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x14ac:dyDescent="0.25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x14ac:dyDescent="0.25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x14ac:dyDescent="0.25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x14ac:dyDescent="0.25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x14ac:dyDescent="0.25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x14ac:dyDescent="0.25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x14ac:dyDescent="0.25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x14ac:dyDescent="0.25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x14ac:dyDescent="0.25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x14ac:dyDescent="0.25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x14ac:dyDescent="0.25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x14ac:dyDescent="0.25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x14ac:dyDescent="0.25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x14ac:dyDescent="0.25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x14ac:dyDescent="0.25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x14ac:dyDescent="0.25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x14ac:dyDescent="0.25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x14ac:dyDescent="0.25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x14ac:dyDescent="0.25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x14ac:dyDescent="0.25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x14ac:dyDescent="0.25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x14ac:dyDescent="0.25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x14ac:dyDescent="0.25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x14ac:dyDescent="0.25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x14ac:dyDescent="0.25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x14ac:dyDescent="0.25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x14ac:dyDescent="0.25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x14ac:dyDescent="0.25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x14ac:dyDescent="0.25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x14ac:dyDescent="0.25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x14ac:dyDescent="0.25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x14ac:dyDescent="0.25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x14ac:dyDescent="0.25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x14ac:dyDescent="0.25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x14ac:dyDescent="0.25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x14ac:dyDescent="0.25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x14ac:dyDescent="0.25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x14ac:dyDescent="0.25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x14ac:dyDescent="0.25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x14ac:dyDescent="0.25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x14ac:dyDescent="0.25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x14ac:dyDescent="0.25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x14ac:dyDescent="0.25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x14ac:dyDescent="0.25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x14ac:dyDescent="0.25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x14ac:dyDescent="0.25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x14ac:dyDescent="0.25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x14ac:dyDescent="0.25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x14ac:dyDescent="0.25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x14ac:dyDescent="0.25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x14ac:dyDescent="0.25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x14ac:dyDescent="0.25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x14ac:dyDescent="0.25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x14ac:dyDescent="0.25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x14ac:dyDescent="0.25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x14ac:dyDescent="0.25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x14ac:dyDescent="0.25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x14ac:dyDescent="0.25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x14ac:dyDescent="0.25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x14ac:dyDescent="0.25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x14ac:dyDescent="0.25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x14ac:dyDescent="0.25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x14ac:dyDescent="0.25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x14ac:dyDescent="0.25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x14ac:dyDescent="0.25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x14ac:dyDescent="0.25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x14ac:dyDescent="0.25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x14ac:dyDescent="0.25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x14ac:dyDescent="0.25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x14ac:dyDescent="0.25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x14ac:dyDescent="0.25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x14ac:dyDescent="0.25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x14ac:dyDescent="0.25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x14ac:dyDescent="0.25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x14ac:dyDescent="0.25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x14ac:dyDescent="0.25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x14ac:dyDescent="0.25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x14ac:dyDescent="0.25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x14ac:dyDescent="0.25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x14ac:dyDescent="0.25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x14ac:dyDescent="0.25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x14ac:dyDescent="0.25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x14ac:dyDescent="0.25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x14ac:dyDescent="0.25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x14ac:dyDescent="0.25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x14ac:dyDescent="0.25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x14ac:dyDescent="0.25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x14ac:dyDescent="0.25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x14ac:dyDescent="0.25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x14ac:dyDescent="0.25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x14ac:dyDescent="0.25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x14ac:dyDescent="0.25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x14ac:dyDescent="0.25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x14ac:dyDescent="0.25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x14ac:dyDescent="0.25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x14ac:dyDescent="0.25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x14ac:dyDescent="0.25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x14ac:dyDescent="0.25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x14ac:dyDescent="0.25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x14ac:dyDescent="0.25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x14ac:dyDescent="0.25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x14ac:dyDescent="0.25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x14ac:dyDescent="0.25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x14ac:dyDescent="0.25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x14ac:dyDescent="0.25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x14ac:dyDescent="0.25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x14ac:dyDescent="0.25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x14ac:dyDescent="0.25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x14ac:dyDescent="0.25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x14ac:dyDescent="0.25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x14ac:dyDescent="0.25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x14ac:dyDescent="0.25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x14ac:dyDescent="0.25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x14ac:dyDescent="0.25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x14ac:dyDescent="0.25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x14ac:dyDescent="0.25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x14ac:dyDescent="0.25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x14ac:dyDescent="0.25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x14ac:dyDescent="0.25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x14ac:dyDescent="0.25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x14ac:dyDescent="0.25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x14ac:dyDescent="0.25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x14ac:dyDescent="0.25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x14ac:dyDescent="0.25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x14ac:dyDescent="0.25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x14ac:dyDescent="0.25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x14ac:dyDescent="0.25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x14ac:dyDescent="0.25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x14ac:dyDescent="0.25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x14ac:dyDescent="0.25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x14ac:dyDescent="0.25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x14ac:dyDescent="0.25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x14ac:dyDescent="0.25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x14ac:dyDescent="0.25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x14ac:dyDescent="0.25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x14ac:dyDescent="0.25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x14ac:dyDescent="0.25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x14ac:dyDescent="0.25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x14ac:dyDescent="0.25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x14ac:dyDescent="0.25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x14ac:dyDescent="0.25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x14ac:dyDescent="0.25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x14ac:dyDescent="0.25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x14ac:dyDescent="0.25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x14ac:dyDescent="0.25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x14ac:dyDescent="0.25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x14ac:dyDescent="0.25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x14ac:dyDescent="0.25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x14ac:dyDescent="0.25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x14ac:dyDescent="0.25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x14ac:dyDescent="0.25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x14ac:dyDescent="0.25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x14ac:dyDescent="0.25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x14ac:dyDescent="0.25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x14ac:dyDescent="0.25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x14ac:dyDescent="0.25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x14ac:dyDescent="0.25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x14ac:dyDescent="0.25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x14ac:dyDescent="0.25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x14ac:dyDescent="0.25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x14ac:dyDescent="0.25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x14ac:dyDescent="0.25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x14ac:dyDescent="0.25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x14ac:dyDescent="0.25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x14ac:dyDescent="0.25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x14ac:dyDescent="0.25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x14ac:dyDescent="0.25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x14ac:dyDescent="0.25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x14ac:dyDescent="0.25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x14ac:dyDescent="0.25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x14ac:dyDescent="0.25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x14ac:dyDescent="0.25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x14ac:dyDescent="0.25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x14ac:dyDescent="0.25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x14ac:dyDescent="0.25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x14ac:dyDescent="0.25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x14ac:dyDescent="0.25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x14ac:dyDescent="0.25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x14ac:dyDescent="0.25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x14ac:dyDescent="0.25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x14ac:dyDescent="0.25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x14ac:dyDescent="0.25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x14ac:dyDescent="0.25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x14ac:dyDescent="0.25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x14ac:dyDescent="0.25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x14ac:dyDescent="0.25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x14ac:dyDescent="0.25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x14ac:dyDescent="0.25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x14ac:dyDescent="0.25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x14ac:dyDescent="0.25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x14ac:dyDescent="0.25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x14ac:dyDescent="0.25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x14ac:dyDescent="0.25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x14ac:dyDescent="0.25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x14ac:dyDescent="0.25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x14ac:dyDescent="0.25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x14ac:dyDescent="0.25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x14ac:dyDescent="0.25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x14ac:dyDescent="0.25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x14ac:dyDescent="0.25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x14ac:dyDescent="0.25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x14ac:dyDescent="0.25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x14ac:dyDescent="0.25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x14ac:dyDescent="0.25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x14ac:dyDescent="0.25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x14ac:dyDescent="0.25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x14ac:dyDescent="0.25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x14ac:dyDescent="0.25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x14ac:dyDescent="0.25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x14ac:dyDescent="0.25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x14ac:dyDescent="0.25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x14ac:dyDescent="0.25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x14ac:dyDescent="0.25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x14ac:dyDescent="0.25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x14ac:dyDescent="0.25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x14ac:dyDescent="0.25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x14ac:dyDescent="0.25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x14ac:dyDescent="0.25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x14ac:dyDescent="0.25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x14ac:dyDescent="0.25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x14ac:dyDescent="0.25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x14ac:dyDescent="0.25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x14ac:dyDescent="0.25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x14ac:dyDescent="0.25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x14ac:dyDescent="0.25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x14ac:dyDescent="0.25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x14ac:dyDescent="0.25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x14ac:dyDescent="0.25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x14ac:dyDescent="0.25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x14ac:dyDescent="0.25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x14ac:dyDescent="0.25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x14ac:dyDescent="0.25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x14ac:dyDescent="0.25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x14ac:dyDescent="0.25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x14ac:dyDescent="0.25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x14ac:dyDescent="0.25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x14ac:dyDescent="0.25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x14ac:dyDescent="0.25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x14ac:dyDescent="0.25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x14ac:dyDescent="0.25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x14ac:dyDescent="0.25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x14ac:dyDescent="0.25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x14ac:dyDescent="0.25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x14ac:dyDescent="0.25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x14ac:dyDescent="0.25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x14ac:dyDescent="0.25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x14ac:dyDescent="0.25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x14ac:dyDescent="0.25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x14ac:dyDescent="0.25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x14ac:dyDescent="0.25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x14ac:dyDescent="0.25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x14ac:dyDescent="0.25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x14ac:dyDescent="0.25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x14ac:dyDescent="0.25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x14ac:dyDescent="0.25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x14ac:dyDescent="0.25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x14ac:dyDescent="0.25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x14ac:dyDescent="0.25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x14ac:dyDescent="0.25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x14ac:dyDescent="0.25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x14ac:dyDescent="0.25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x14ac:dyDescent="0.25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x14ac:dyDescent="0.25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x14ac:dyDescent="0.25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x14ac:dyDescent="0.25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x14ac:dyDescent="0.25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x14ac:dyDescent="0.25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x14ac:dyDescent="0.25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x14ac:dyDescent="0.25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x14ac:dyDescent="0.25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x14ac:dyDescent="0.25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x14ac:dyDescent="0.25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x14ac:dyDescent="0.25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x14ac:dyDescent="0.25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x14ac:dyDescent="0.25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x14ac:dyDescent="0.25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x14ac:dyDescent="0.25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x14ac:dyDescent="0.25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x14ac:dyDescent="0.25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x14ac:dyDescent="0.25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x14ac:dyDescent="0.25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x14ac:dyDescent="0.25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x14ac:dyDescent="0.25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x14ac:dyDescent="0.25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x14ac:dyDescent="0.25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x14ac:dyDescent="0.25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x14ac:dyDescent="0.25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x14ac:dyDescent="0.25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x14ac:dyDescent="0.25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x14ac:dyDescent="0.25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x14ac:dyDescent="0.25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x14ac:dyDescent="0.25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x14ac:dyDescent="0.25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x14ac:dyDescent="0.25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x14ac:dyDescent="0.25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x14ac:dyDescent="0.25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x14ac:dyDescent="0.25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x14ac:dyDescent="0.25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x14ac:dyDescent="0.25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x14ac:dyDescent="0.25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x14ac:dyDescent="0.25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x14ac:dyDescent="0.25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x14ac:dyDescent="0.25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x14ac:dyDescent="0.25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x14ac:dyDescent="0.25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x14ac:dyDescent="0.25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x14ac:dyDescent="0.25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x14ac:dyDescent="0.25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x14ac:dyDescent="0.25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x14ac:dyDescent="0.25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x14ac:dyDescent="0.25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x14ac:dyDescent="0.25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x14ac:dyDescent="0.25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x14ac:dyDescent="0.25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x14ac:dyDescent="0.25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x14ac:dyDescent="0.25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x14ac:dyDescent="0.25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x14ac:dyDescent="0.25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x14ac:dyDescent="0.25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x14ac:dyDescent="0.25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x14ac:dyDescent="0.25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x14ac:dyDescent="0.25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x14ac:dyDescent="0.25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x14ac:dyDescent="0.25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x14ac:dyDescent="0.25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x14ac:dyDescent="0.25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x14ac:dyDescent="0.25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x14ac:dyDescent="0.25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x14ac:dyDescent="0.25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x14ac:dyDescent="0.25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x14ac:dyDescent="0.25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x14ac:dyDescent="0.25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x14ac:dyDescent="0.25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x14ac:dyDescent="0.25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x14ac:dyDescent="0.25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x14ac:dyDescent="0.25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x14ac:dyDescent="0.25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x14ac:dyDescent="0.25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x14ac:dyDescent="0.25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x14ac:dyDescent="0.25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x14ac:dyDescent="0.25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x14ac:dyDescent="0.25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x14ac:dyDescent="0.25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x14ac:dyDescent="0.25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x14ac:dyDescent="0.25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x14ac:dyDescent="0.25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x14ac:dyDescent="0.25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x14ac:dyDescent="0.25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x14ac:dyDescent="0.25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x14ac:dyDescent="0.25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x14ac:dyDescent="0.25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x14ac:dyDescent="0.25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x14ac:dyDescent="0.25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x14ac:dyDescent="0.25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x14ac:dyDescent="0.25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x14ac:dyDescent="0.25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x14ac:dyDescent="0.25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x14ac:dyDescent="0.25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x14ac:dyDescent="0.25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x14ac:dyDescent="0.25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x14ac:dyDescent="0.25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x14ac:dyDescent="0.25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x14ac:dyDescent="0.25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x14ac:dyDescent="0.25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x14ac:dyDescent="0.25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x14ac:dyDescent="0.25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x14ac:dyDescent="0.25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x14ac:dyDescent="0.25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x14ac:dyDescent="0.25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x14ac:dyDescent="0.25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x14ac:dyDescent="0.25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x14ac:dyDescent="0.25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x14ac:dyDescent="0.25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x14ac:dyDescent="0.25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x14ac:dyDescent="0.25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x14ac:dyDescent="0.25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x14ac:dyDescent="0.25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x14ac:dyDescent="0.25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x14ac:dyDescent="0.25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x14ac:dyDescent="0.25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x14ac:dyDescent="0.25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x14ac:dyDescent="0.25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x14ac:dyDescent="0.25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x14ac:dyDescent="0.25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x14ac:dyDescent="0.25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x14ac:dyDescent="0.25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x14ac:dyDescent="0.25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x14ac:dyDescent="0.25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x14ac:dyDescent="0.25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x14ac:dyDescent="0.25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x14ac:dyDescent="0.25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x14ac:dyDescent="0.25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x14ac:dyDescent="0.25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x14ac:dyDescent="0.25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x14ac:dyDescent="0.25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x14ac:dyDescent="0.25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x14ac:dyDescent="0.25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x14ac:dyDescent="0.25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x14ac:dyDescent="0.25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x14ac:dyDescent="0.25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x14ac:dyDescent="0.25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x14ac:dyDescent="0.25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x14ac:dyDescent="0.25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x14ac:dyDescent="0.25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x14ac:dyDescent="0.25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x14ac:dyDescent="0.25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x14ac:dyDescent="0.25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x14ac:dyDescent="0.25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x14ac:dyDescent="0.25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x14ac:dyDescent="0.25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x14ac:dyDescent="0.25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x14ac:dyDescent="0.25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x14ac:dyDescent="0.25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x14ac:dyDescent="0.25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x14ac:dyDescent="0.25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x14ac:dyDescent="0.25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x14ac:dyDescent="0.25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x14ac:dyDescent="0.25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x14ac:dyDescent="0.25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x14ac:dyDescent="0.25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x14ac:dyDescent="0.25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x14ac:dyDescent="0.25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x14ac:dyDescent="0.25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x14ac:dyDescent="0.25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x14ac:dyDescent="0.25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x14ac:dyDescent="0.25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x14ac:dyDescent="0.25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x14ac:dyDescent="0.25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x14ac:dyDescent="0.25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x14ac:dyDescent="0.25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x14ac:dyDescent="0.25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x14ac:dyDescent="0.25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x14ac:dyDescent="0.25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x14ac:dyDescent="0.25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x14ac:dyDescent="0.25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x14ac:dyDescent="0.25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x14ac:dyDescent="0.25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x14ac:dyDescent="0.25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x14ac:dyDescent="0.25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x14ac:dyDescent="0.25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x14ac:dyDescent="0.25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x14ac:dyDescent="0.25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x14ac:dyDescent="0.25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x14ac:dyDescent="0.25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x14ac:dyDescent="0.25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x14ac:dyDescent="0.25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x14ac:dyDescent="0.25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x14ac:dyDescent="0.25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x14ac:dyDescent="0.25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x14ac:dyDescent="0.25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x14ac:dyDescent="0.25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x14ac:dyDescent="0.25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x14ac:dyDescent="0.25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x14ac:dyDescent="0.25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x14ac:dyDescent="0.25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x14ac:dyDescent="0.25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x14ac:dyDescent="0.25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x14ac:dyDescent="0.25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x14ac:dyDescent="0.25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x14ac:dyDescent="0.25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x14ac:dyDescent="0.25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x14ac:dyDescent="0.25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x14ac:dyDescent="0.25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x14ac:dyDescent="0.25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x14ac:dyDescent="0.25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x14ac:dyDescent="0.25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x14ac:dyDescent="0.25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x14ac:dyDescent="0.25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x14ac:dyDescent="0.25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x14ac:dyDescent="0.25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x14ac:dyDescent="0.25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x14ac:dyDescent="0.25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x14ac:dyDescent="0.25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x14ac:dyDescent="0.25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x14ac:dyDescent="0.25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x14ac:dyDescent="0.25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x14ac:dyDescent="0.25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x14ac:dyDescent="0.25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x14ac:dyDescent="0.25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x14ac:dyDescent="0.25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x14ac:dyDescent="0.25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x14ac:dyDescent="0.25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x14ac:dyDescent="0.25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x14ac:dyDescent="0.25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x14ac:dyDescent="0.25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x14ac:dyDescent="0.25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x14ac:dyDescent="0.25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x14ac:dyDescent="0.25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x14ac:dyDescent="0.25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x14ac:dyDescent="0.25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x14ac:dyDescent="0.25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x14ac:dyDescent="0.25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x14ac:dyDescent="0.25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x14ac:dyDescent="0.25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x14ac:dyDescent="0.25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x14ac:dyDescent="0.25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x14ac:dyDescent="0.25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x14ac:dyDescent="0.25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x14ac:dyDescent="0.25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x14ac:dyDescent="0.25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x14ac:dyDescent="0.25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x14ac:dyDescent="0.25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x14ac:dyDescent="0.25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x14ac:dyDescent="0.25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x14ac:dyDescent="0.25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x14ac:dyDescent="0.25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x14ac:dyDescent="0.25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x14ac:dyDescent="0.25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x14ac:dyDescent="0.25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x14ac:dyDescent="0.25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x14ac:dyDescent="0.25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x14ac:dyDescent="0.25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x14ac:dyDescent="0.25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x14ac:dyDescent="0.25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x14ac:dyDescent="0.25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x14ac:dyDescent="0.25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x14ac:dyDescent="0.25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x14ac:dyDescent="0.25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x14ac:dyDescent="0.25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x14ac:dyDescent="0.25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x14ac:dyDescent="0.25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x14ac:dyDescent="0.25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x14ac:dyDescent="0.25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x14ac:dyDescent="0.25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x14ac:dyDescent="0.25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x14ac:dyDescent="0.25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x14ac:dyDescent="0.25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x14ac:dyDescent="0.25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x14ac:dyDescent="0.25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x14ac:dyDescent="0.25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x14ac:dyDescent="0.25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x14ac:dyDescent="0.25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x14ac:dyDescent="0.25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x14ac:dyDescent="0.25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x14ac:dyDescent="0.25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x14ac:dyDescent="0.25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x14ac:dyDescent="0.25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x14ac:dyDescent="0.25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x14ac:dyDescent="0.25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x14ac:dyDescent="0.25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x14ac:dyDescent="0.25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x14ac:dyDescent="0.25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x14ac:dyDescent="0.25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x14ac:dyDescent="0.25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x14ac:dyDescent="0.25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x14ac:dyDescent="0.25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x14ac:dyDescent="0.25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x14ac:dyDescent="0.25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x14ac:dyDescent="0.25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x14ac:dyDescent="0.25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x14ac:dyDescent="0.25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x14ac:dyDescent="0.25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x14ac:dyDescent="0.25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x14ac:dyDescent="0.25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x14ac:dyDescent="0.25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x14ac:dyDescent="0.25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x14ac:dyDescent="0.25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x14ac:dyDescent="0.25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x14ac:dyDescent="0.25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x14ac:dyDescent="0.25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x14ac:dyDescent="0.25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x14ac:dyDescent="0.25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x14ac:dyDescent="0.25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x14ac:dyDescent="0.25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x14ac:dyDescent="0.25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x14ac:dyDescent="0.25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x14ac:dyDescent="0.25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x14ac:dyDescent="0.25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x14ac:dyDescent="0.25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x14ac:dyDescent="0.25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x14ac:dyDescent="0.25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x14ac:dyDescent="0.25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x14ac:dyDescent="0.25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x14ac:dyDescent="0.25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x14ac:dyDescent="0.25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x14ac:dyDescent="0.25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x14ac:dyDescent="0.25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x14ac:dyDescent="0.25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x14ac:dyDescent="0.25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x14ac:dyDescent="0.25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x14ac:dyDescent="0.25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x14ac:dyDescent="0.25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x14ac:dyDescent="0.25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x14ac:dyDescent="0.25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x14ac:dyDescent="0.25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x14ac:dyDescent="0.25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x14ac:dyDescent="0.25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x14ac:dyDescent="0.25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x14ac:dyDescent="0.25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x14ac:dyDescent="0.25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x14ac:dyDescent="0.25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x14ac:dyDescent="0.25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x14ac:dyDescent="0.25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x14ac:dyDescent="0.25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x14ac:dyDescent="0.25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x14ac:dyDescent="0.25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x14ac:dyDescent="0.25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x14ac:dyDescent="0.25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x14ac:dyDescent="0.25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x14ac:dyDescent="0.25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x14ac:dyDescent="0.25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x14ac:dyDescent="0.25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x14ac:dyDescent="0.25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x14ac:dyDescent="0.25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x14ac:dyDescent="0.25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x14ac:dyDescent="0.25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x14ac:dyDescent="0.25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x14ac:dyDescent="0.25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x14ac:dyDescent="0.25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x14ac:dyDescent="0.25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x14ac:dyDescent="0.25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x14ac:dyDescent="0.25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x14ac:dyDescent="0.25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x14ac:dyDescent="0.25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x14ac:dyDescent="0.25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x14ac:dyDescent="0.25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x14ac:dyDescent="0.25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x14ac:dyDescent="0.25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x14ac:dyDescent="0.25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x14ac:dyDescent="0.25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x14ac:dyDescent="0.25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x14ac:dyDescent="0.25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x14ac:dyDescent="0.25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x14ac:dyDescent="0.25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x14ac:dyDescent="0.25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x14ac:dyDescent="0.25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x14ac:dyDescent="0.25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x14ac:dyDescent="0.25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x14ac:dyDescent="0.25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x14ac:dyDescent="0.25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x14ac:dyDescent="0.25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x14ac:dyDescent="0.25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x14ac:dyDescent="0.25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x14ac:dyDescent="0.25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x14ac:dyDescent="0.25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x14ac:dyDescent="0.25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x14ac:dyDescent="0.25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x14ac:dyDescent="0.25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x14ac:dyDescent="0.25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x14ac:dyDescent="0.25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x14ac:dyDescent="0.25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x14ac:dyDescent="0.25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x14ac:dyDescent="0.25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x14ac:dyDescent="0.25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x14ac:dyDescent="0.25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x14ac:dyDescent="0.25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x14ac:dyDescent="0.25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x14ac:dyDescent="0.25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x14ac:dyDescent="0.25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x14ac:dyDescent="0.25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x14ac:dyDescent="0.25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x14ac:dyDescent="0.25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x14ac:dyDescent="0.25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x14ac:dyDescent="0.25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x14ac:dyDescent="0.25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x14ac:dyDescent="0.25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x14ac:dyDescent="0.25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x14ac:dyDescent="0.25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x14ac:dyDescent="0.25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x14ac:dyDescent="0.25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x14ac:dyDescent="0.25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x14ac:dyDescent="0.25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x14ac:dyDescent="0.25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x14ac:dyDescent="0.25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x14ac:dyDescent="0.25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x14ac:dyDescent="0.25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x14ac:dyDescent="0.25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x14ac:dyDescent="0.25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x14ac:dyDescent="0.25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x14ac:dyDescent="0.25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x14ac:dyDescent="0.25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x14ac:dyDescent="0.25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x14ac:dyDescent="0.25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x14ac:dyDescent="0.25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x14ac:dyDescent="0.25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x14ac:dyDescent="0.25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x14ac:dyDescent="0.25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x14ac:dyDescent="0.25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x14ac:dyDescent="0.25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x14ac:dyDescent="0.25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x14ac:dyDescent="0.25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x14ac:dyDescent="0.25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x14ac:dyDescent="0.25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x14ac:dyDescent="0.25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x14ac:dyDescent="0.25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x14ac:dyDescent="0.25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x14ac:dyDescent="0.25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x14ac:dyDescent="0.25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x14ac:dyDescent="0.25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x14ac:dyDescent="0.25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x14ac:dyDescent="0.25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x14ac:dyDescent="0.25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x14ac:dyDescent="0.25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x14ac:dyDescent="0.25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x14ac:dyDescent="0.25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x14ac:dyDescent="0.25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x14ac:dyDescent="0.25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x14ac:dyDescent="0.25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x14ac:dyDescent="0.25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x14ac:dyDescent="0.25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x14ac:dyDescent="0.25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x14ac:dyDescent="0.25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x14ac:dyDescent="0.25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x14ac:dyDescent="0.25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x14ac:dyDescent="0.25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x14ac:dyDescent="0.25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x14ac:dyDescent="0.25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x14ac:dyDescent="0.25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x14ac:dyDescent="0.25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x14ac:dyDescent="0.25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x14ac:dyDescent="0.25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x14ac:dyDescent="0.25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x14ac:dyDescent="0.25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x14ac:dyDescent="0.25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x14ac:dyDescent="0.25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x14ac:dyDescent="0.25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D1:H1"/>
    <mergeCell ref="I1:N1"/>
    <mergeCell ref="O1:P1"/>
  </mergeCells>
  <conditionalFormatting sqref="D4:P6">
    <cfRule type="containsText" dxfId="7" priority="1" operator="containsText" text="OK">
      <formula>NOT(ISERROR(SEARCH(("OK"),(D4))))</formula>
    </cfRule>
  </conditionalFormatting>
  <conditionalFormatting sqref="D4:P6">
    <cfRule type="containsText" dxfId="6" priority="2" operator="containsText" text="ERROR">
      <formula>NOT(ISERROR(SEARCH(("ERROR"),(D4))))</formula>
    </cfRule>
  </conditionalFormatting>
  <conditionalFormatting sqref="G10:H10">
    <cfRule type="containsText" dxfId="5" priority="3" operator="containsText" text="OK">
      <formula>NOT(ISERROR(SEARCH(("OK"),(G10))))</formula>
    </cfRule>
  </conditionalFormatting>
  <conditionalFormatting sqref="G10:H10">
    <cfRule type="containsText" dxfId="4" priority="4" operator="containsText" text="ERROR">
      <formula>NOT(ISERROR(SEARCH(("ERROR"),(G10))))</formula>
    </cfRule>
  </conditionalFormatting>
  <conditionalFormatting sqref="J10">
    <cfRule type="containsText" dxfId="3" priority="5" operator="containsText" text="OK">
      <formula>NOT(ISERROR(SEARCH(("OK"),(J10))))</formula>
    </cfRule>
  </conditionalFormatting>
  <conditionalFormatting sqref="J10">
    <cfRule type="containsText" dxfId="2" priority="6" operator="containsText" text="ERROR">
      <formula>NOT(ISERROR(SEARCH(("ERROR"),(J10))))</formula>
    </cfRule>
  </conditionalFormatting>
  <conditionalFormatting sqref="O5">
    <cfRule type="containsText" dxfId="1" priority="7" operator="containsText" text="OK">
      <formula>NOT(ISERROR(SEARCH(("OK"),(O5))))</formula>
    </cfRule>
  </conditionalFormatting>
  <conditionalFormatting sqref="O5">
    <cfRule type="containsText" dxfId="0" priority="8" operator="containsText" text="ERROR">
      <formula>NOT(ISERROR(SEARCH(("ERROR"),(O5))))</formula>
    </cfRule>
  </conditionalFormatting>
  <dataValidations count="1">
    <dataValidation type="list" allowBlank="1" showErrorMessage="1" sqref="I10" xr:uid="{00000000-0002-0000-0300-000000000000}">
      <formula1>"1,2"</formula1>
    </dataValidation>
  </dataValidations>
  <pageMargins left="0.7" right="0.7" top="0.75" bottom="0.75" header="0" footer="0"/>
  <pageSetup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9dcca7-7435-4470-9c36-20869203f438">
      <Terms xmlns="http://schemas.microsoft.com/office/infopath/2007/PartnerControls"/>
    </lcf76f155ced4ddcb4097134ff3c332f>
    <TaxCatchAll xmlns="45db24dd-e01c-4832-a610-64a39680c1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99C92BA38D144A9849FA6D6E94EAA" ma:contentTypeVersion="11" ma:contentTypeDescription="Create a new document." ma:contentTypeScope="" ma:versionID="2670e795d918deb6f13c7dae643f3159">
  <xsd:schema xmlns:xsd="http://www.w3.org/2001/XMLSchema" xmlns:xs="http://www.w3.org/2001/XMLSchema" xmlns:p="http://schemas.microsoft.com/office/2006/metadata/properties" xmlns:ns2="469dcca7-7435-4470-9c36-20869203f438" xmlns:ns3="45db24dd-e01c-4832-a610-64a39680c148" targetNamespace="http://schemas.microsoft.com/office/2006/metadata/properties" ma:root="true" ma:fieldsID="3d388981019c61e9a6aa50124396912e" ns2:_="" ns3:_="">
    <xsd:import namespace="469dcca7-7435-4470-9c36-20869203f438"/>
    <xsd:import namespace="45db24dd-e01c-4832-a610-64a39680c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dcca7-7435-4470-9c36-20869203f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deba053-6a4e-4e58-aa7e-5a8bfe396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b24dd-e01c-4832-a610-64a39680c1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8ac0e1-44fd-4260-8f03-73e1ee69dd1f}" ma:internalName="TaxCatchAll" ma:showField="CatchAllData" ma:web="45db24dd-e01c-4832-a610-64a39680c1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1E2FA5-63DA-4669-A56C-7F7371FD472A}">
  <ds:schemaRefs>
    <ds:schemaRef ds:uri="http://schemas.microsoft.com/office/2006/metadata/properties"/>
    <ds:schemaRef ds:uri="http://schemas.microsoft.com/office/infopath/2007/PartnerControls"/>
    <ds:schemaRef ds:uri="469dcca7-7435-4470-9c36-20869203f438"/>
    <ds:schemaRef ds:uri="45db24dd-e01c-4832-a610-64a39680c148"/>
  </ds:schemaRefs>
</ds:datastoreItem>
</file>

<file path=customXml/itemProps2.xml><?xml version="1.0" encoding="utf-8"?>
<ds:datastoreItem xmlns:ds="http://schemas.openxmlformats.org/officeDocument/2006/customXml" ds:itemID="{54D61805-6A5B-4D92-8D68-95659B774A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CAD4C6-55CB-43AA-936A-E7D3E70F3A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9dcca7-7435-4470-9c36-20869203f438"/>
    <ds:schemaRef ds:uri="45db24dd-e01c-4832-a610-64a39680c1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M&amp;A Assumptions &amp; Analysis</vt:lpstr>
      <vt:lpstr>Pro Forma Model</vt:lpstr>
      <vt:lpstr>Acquirer Model</vt:lpstr>
      <vt:lpstr>Target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2004-07-20T21:40:42Z</dcterms:created>
  <dcterms:modified xsi:type="dcterms:W3CDTF">2026-05-20T14:41:24Z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  <property fmtid="{D5CDD505-2E9C-101B-9397-08002B2CF9AE}" pid="3" name="MSIP_Label_9b9dd4f1-9671-4b90-8af7-f1ebbb519e1d_Enabled">
    <vt:lpwstr>true</vt:lpwstr>
  </property>
  <property fmtid="{D5CDD505-2E9C-101B-9397-08002B2CF9AE}" pid="4" name="MSIP_Label_9b9dd4f1-9671-4b90-8af7-f1ebbb519e1d_SetDate">
    <vt:lpwstr>2025-03-18T03:44:38Z</vt:lpwstr>
  </property>
  <property fmtid="{D5CDD505-2E9C-101B-9397-08002B2CF9AE}" pid="5" name="MSIP_Label_9b9dd4f1-9671-4b90-8af7-f1ebbb519e1d_Method">
    <vt:lpwstr>Privileged</vt:lpwstr>
  </property>
  <property fmtid="{D5CDD505-2E9C-101B-9397-08002B2CF9AE}" pid="6" name="MSIP_Label_9b9dd4f1-9671-4b90-8af7-f1ebbb519e1d_Name">
    <vt:lpwstr>Confidential</vt:lpwstr>
  </property>
  <property fmtid="{D5CDD505-2E9C-101B-9397-08002B2CF9AE}" pid="7" name="MSIP_Label_9b9dd4f1-9671-4b90-8af7-f1ebbb519e1d_SiteId">
    <vt:lpwstr>927e65b8-7ad7-48db-a3c6-c42a67c100d6</vt:lpwstr>
  </property>
  <property fmtid="{D5CDD505-2E9C-101B-9397-08002B2CF9AE}" pid="8" name="MSIP_Label_9b9dd4f1-9671-4b90-8af7-f1ebbb519e1d_ActionId">
    <vt:lpwstr>49549652-fa92-4d0b-9ef2-9b2f54426ab4</vt:lpwstr>
  </property>
  <property fmtid="{D5CDD505-2E9C-101B-9397-08002B2CF9AE}" pid="9" name="MSIP_Label_9b9dd4f1-9671-4b90-8af7-f1ebbb519e1d_ContentBits">
    <vt:lpwstr>0</vt:lpwstr>
  </property>
  <property fmtid="{D5CDD505-2E9C-101B-9397-08002B2CF9AE}" pid="10" name="MSIP_Label_9b9dd4f1-9671-4b90-8af7-f1ebbb519e1d_Tag">
    <vt:lpwstr>10, 0, 1, 1</vt:lpwstr>
  </property>
  <property fmtid="{D5CDD505-2E9C-101B-9397-08002B2CF9AE}" pid="11" name="ContentTypeId">
    <vt:lpwstr>0x010100FF799C92BA38D144A9849FA6D6E94EAA</vt:lpwstr>
  </property>
</Properties>
</file>